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36f91c58f85e6/Hobby/Elektronikk/CPU/RV32I/"/>
    </mc:Choice>
  </mc:AlternateContent>
  <xr:revisionPtr revIDLastSave="0" documentId="8_{9EF8E7C6-5CE9-476B-8BAB-D053976A8932}" xr6:coauthVersionLast="47" xr6:coauthVersionMax="47" xr10:uidLastSave="{00000000-0000-0000-0000-000000000000}"/>
  <bookViews>
    <workbookView xWindow="-120" yWindow="-120" windowWidth="29040" windowHeight="15720" activeTab="1" xr2:uid="{AFD4FFD6-7E18-4225-854C-13EFD31E9267}"/>
  </bookViews>
  <sheets>
    <sheet name="Ark1 (2)" sheetId="2" r:id="rId1"/>
    <sheet name="Ark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K25" i="1"/>
  <c r="K24" i="1"/>
</calcChain>
</file>

<file path=xl/sharedStrings.xml><?xml version="1.0" encoding="utf-8"?>
<sst xmlns="http://schemas.openxmlformats.org/spreadsheetml/2006/main" count="494" uniqueCount="110">
  <si>
    <t>instruction</t>
  </si>
  <si>
    <t>26-25</t>
  </si>
  <si>
    <t>19-15</t>
  </si>
  <si>
    <t>14-12</t>
  </si>
  <si>
    <t>6-2</t>
  </si>
  <si>
    <t>1-0</t>
  </si>
  <si>
    <t>lui</t>
  </si>
  <si>
    <t>rd</t>
  </si>
  <si>
    <t>auipc</t>
  </si>
  <si>
    <t>x[rd]</t>
  </si>
  <si>
    <t>addi</t>
  </si>
  <si>
    <t>imm[11:0]</t>
  </si>
  <si>
    <t>rs1</t>
  </si>
  <si>
    <t>imm</t>
  </si>
  <si>
    <t>sext(imm[31:12] &lt;&lt; 12)</t>
  </si>
  <si>
    <t>opcode</t>
  </si>
  <si>
    <t>slti</t>
  </si>
  <si>
    <t>alu</t>
  </si>
  <si>
    <t>S1</t>
  </si>
  <si>
    <t>S2</t>
  </si>
  <si>
    <t>pc</t>
  </si>
  <si>
    <t>x[rs1]</t>
  </si>
  <si>
    <t>sltiu</t>
  </si>
  <si>
    <t>xori</t>
  </si>
  <si>
    <t>ori</t>
  </si>
  <si>
    <t>andi</t>
  </si>
  <si>
    <t>slli</t>
  </si>
  <si>
    <t>srli</t>
  </si>
  <si>
    <t>srai</t>
  </si>
  <si>
    <t>add</t>
  </si>
  <si>
    <t>rs2</t>
  </si>
  <si>
    <t>x[rs2]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</si>
  <si>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</si>
  <si>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</si>
  <si>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</si>
  <si>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</si>
  <si>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</si>
  <si>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</si>
  <si>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</si>
  <si>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</si>
  <si>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</si>
  <si>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lb</t>
  </si>
  <si>
    <t>sext(offset[11:0])</t>
  </si>
  <si>
    <t>sext(imm[11:0])</t>
  </si>
  <si>
    <t>lh</t>
  </si>
  <si>
    <t>lw</t>
  </si>
  <si>
    <t>lbu</t>
  </si>
  <si>
    <t>lhu</t>
  </si>
  <si>
    <t>sb</t>
  </si>
  <si>
    <t>ALU</t>
  </si>
  <si>
    <t>addr</t>
  </si>
  <si>
    <t>data</t>
  </si>
  <si>
    <t>MEM</t>
  </si>
  <si>
    <t>sext(M[7:0])</t>
  </si>
  <si>
    <t>sext(M[15:0])</t>
  </si>
  <si>
    <t>sext(M[31:0])</t>
  </si>
  <si>
    <t>ext(M[15:0])</t>
  </si>
  <si>
    <t>ext(M[7:0])</t>
  </si>
  <si>
    <t>x[rs2][7:0]</t>
  </si>
  <si>
    <t>x[rs2][15:0]</t>
  </si>
  <si>
    <t>sh</t>
  </si>
  <si>
    <t>sw</t>
  </si>
  <si>
    <t>x[rs2][31:0]</t>
  </si>
  <si>
    <t>jal</t>
  </si>
  <si>
    <t>pc+4</t>
  </si>
  <si>
    <t>PC</t>
  </si>
  <si>
    <t>sext(offset[20:0])</t>
  </si>
  <si>
    <t>jalr</t>
  </si>
  <si>
    <t>alu&amp;~1</t>
  </si>
  <si>
    <t>beq</t>
  </si>
  <si>
    <t>alu/jmp</t>
  </si>
  <si>
    <t>alu/branch</t>
  </si>
  <si>
    <t>bne</t>
  </si>
  <si>
    <t>blt</t>
  </si>
  <si>
    <t>bge</t>
  </si>
  <si>
    <t>bltu</t>
  </si>
  <si>
    <t>bgeu</t>
  </si>
  <si>
    <t>x[0]</t>
  </si>
  <si>
    <t>sext(offset[12:0])</t>
  </si>
  <si>
    <t>funct3</t>
  </si>
  <si>
    <t>funct7</t>
  </si>
  <si>
    <t>I</t>
  </si>
  <si>
    <t>I[5:0]</t>
  </si>
  <si>
    <t>U</t>
  </si>
  <si>
    <t>R</t>
  </si>
  <si>
    <t>J</t>
  </si>
  <si>
    <t>B</t>
  </si>
  <si>
    <t>S</t>
  </si>
  <si>
    <t>30-27</t>
  </si>
  <si>
    <t>i[31]</t>
  </si>
  <si>
    <t>i[11]</t>
  </si>
  <si>
    <t>i[12]</t>
  </si>
  <si>
    <t>i[20]</t>
  </si>
  <si>
    <t>i[19:12]</t>
  </si>
  <si>
    <t>i[0]</t>
  </si>
  <si>
    <t>i[4:1]</t>
  </si>
  <si>
    <t>i[10:5]</t>
  </si>
  <si>
    <t>11-8</t>
  </si>
  <si>
    <t>7</t>
  </si>
  <si>
    <t>24-21</t>
  </si>
  <si>
    <t>i[24:21]</t>
  </si>
  <si>
    <t>i[30:25]</t>
  </si>
  <si>
    <t>OP_IMM</t>
  </si>
  <si>
    <t>LUI</t>
  </si>
  <si>
    <t>AUIPC</t>
  </si>
  <si>
    <t>LOAD</t>
  </si>
  <si>
    <t>STORE</t>
  </si>
  <si>
    <t>JAL</t>
  </si>
  <si>
    <t>JALR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</si>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</sst>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0000"/>
    <numFmt numFmtId="166" formatCode="000"/>
    <numFmt numFmtId="167" formatCode="00"/>
    <numFmt numFmtId="168" formatCode="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6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/>
    <xf numFmtId="165" fontId="0" fillId="0" borderId="0" xfId="0" applyNumberFormat="1" applyAlignment="1"/>
    <xf numFmtId="0" fontId="2" fillId="2" borderId="0" xfId="1"/>
    <xf numFmtId="0" fontId="2" fillId="2" borderId="0" xfId="1" applyAlignment="1">
      <alignment horizontal="center"/>
    </xf>
    <xf numFmtId="165" fontId="2" fillId="2" borderId="0" xfId="1" applyNumberFormat="1" applyAlignment="1">
      <alignment horizontal="center"/>
    </xf>
    <xf numFmtId="0" fontId="2" fillId="2" borderId="0" xfId="1" applyAlignment="1">
      <alignment wrapText="1"/>
    </xf>
    <xf numFmtId="166" fontId="1" fillId="4" borderId="0" xfId="3" applyNumberFormat="1"/>
    <xf numFmtId="0" fontId="1" fillId="5" borderId="0" xfId="4" applyAlignment="1"/>
    <xf numFmtId="0" fontId="1" fillId="5" borderId="0" xfId="4" applyBorder="1" applyAlignment="1"/>
    <xf numFmtId="0" fontId="2" fillId="2" borderId="0" xfId="1" applyAlignment="1"/>
    <xf numFmtId="167" fontId="0" fillId="0" borderId="0" xfId="0" applyNumberFormat="1" applyAlignment="1">
      <alignment horizontal="left"/>
    </xf>
    <xf numFmtId="167" fontId="2" fillId="2" borderId="0" xfId="1" applyNumberFormat="1" applyAlignment="1">
      <alignment horizontal="left"/>
    </xf>
    <xf numFmtId="168" fontId="0" fillId="0" borderId="0" xfId="0" applyNumberFormat="1" applyAlignment="1">
      <alignment horizontal="center"/>
    </xf>
    <xf numFmtId="168" fontId="2" fillId="2" borderId="0" xfId="1" applyNumberFormat="1" applyAlignment="1">
      <alignment horizontal="center"/>
    </xf>
    <xf numFmtId="0" fontId="3" fillId="3" borderId="0" xfId="2" applyAlignment="1">
      <alignment horizontal="center" wrapText="1"/>
    </xf>
    <xf numFmtId="0" fontId="0" fillId="0" borderId="0" xfId="0" applyNumberFormat="1" applyAlignment="1"/>
    <xf numFmtId="0" fontId="0" fillId="9" borderId="5" xfId="0" applyNumberFormat="1" applyFill="1" applyBorder="1" applyAlignment="1"/>
    <xf numFmtId="0" fontId="0" fillId="9" borderId="6" xfId="0" applyNumberFormat="1" applyFill="1" applyBorder="1" applyAlignment="1"/>
    <xf numFmtId="0" fontId="0" fillId="9" borderId="7" xfId="0" applyNumberFormat="1" applyFill="1" applyBorder="1" applyAlignment="1"/>
    <xf numFmtId="0" fontId="0" fillId="9" borderId="2" xfId="0" applyNumberFormat="1" applyFill="1" applyBorder="1" applyAlignment="1"/>
    <xf numFmtId="0" fontId="0" fillId="9" borderId="8" xfId="0" applyNumberFormat="1" applyFill="1" applyBorder="1" applyAlignment="1"/>
    <xf numFmtId="0" fontId="0" fillId="9" borderId="0" xfId="0" applyNumberFormat="1" applyFill="1" applyBorder="1" applyAlignment="1"/>
    <xf numFmtId="0" fontId="0" fillId="9" borderId="9" xfId="0" applyNumberFormat="1" applyFill="1" applyBorder="1" applyAlignment="1"/>
    <xf numFmtId="0" fontId="0" fillId="9" borderId="3" xfId="0" applyNumberFormat="1" applyFill="1" applyBorder="1" applyAlignment="1"/>
    <xf numFmtId="0" fontId="0" fillId="6" borderId="8" xfId="0" applyNumberFormat="1" applyFill="1" applyBorder="1" applyAlignment="1"/>
    <xf numFmtId="0" fontId="0" fillId="6" borderId="0" xfId="0" applyNumberFormat="1" applyFill="1" applyBorder="1" applyAlignment="1"/>
    <xf numFmtId="0" fontId="0" fillId="6" borderId="9" xfId="0" applyNumberFormat="1" applyFill="1" applyBorder="1" applyAlignment="1"/>
    <xf numFmtId="0" fontId="0" fillId="6" borderId="3" xfId="0" applyNumberFormat="1" applyFill="1" applyBorder="1" applyAlignment="1"/>
    <xf numFmtId="0" fontId="5" fillId="7" borderId="3" xfId="0" applyNumberFormat="1" applyFont="1" applyFill="1" applyBorder="1" applyAlignment="1"/>
    <xf numFmtId="0" fontId="5" fillId="8" borderId="3" xfId="0" applyNumberFormat="1" applyFont="1" applyFill="1" applyBorder="1" applyAlignment="1"/>
    <xf numFmtId="0" fontId="5" fillId="6" borderId="8" xfId="0" applyNumberFormat="1" applyFont="1" applyFill="1" applyBorder="1" applyAlignment="1"/>
    <xf numFmtId="0" fontId="5" fillId="6" borderId="0" xfId="0" applyNumberFormat="1" applyFont="1" applyFill="1" applyBorder="1" applyAlignment="1"/>
    <xf numFmtId="0" fontId="0" fillId="6" borderId="10" xfId="0" applyNumberFormat="1" applyFill="1" applyBorder="1" applyAlignment="1"/>
    <xf numFmtId="0" fontId="0" fillId="6" borderId="11" xfId="0" applyNumberFormat="1" applyFill="1" applyBorder="1" applyAlignment="1"/>
    <xf numFmtId="0" fontId="0" fillId="6" borderId="12" xfId="0" applyNumberFormat="1" applyFill="1" applyBorder="1" applyAlignment="1"/>
    <xf numFmtId="0" fontId="0" fillId="0" borderId="6" xfId="0" applyNumberFormat="1" applyBorder="1" applyAlignment="1"/>
    <xf numFmtId="0" fontId="0" fillId="0" borderId="6" xfId="0" applyNumberFormat="1" applyFill="1" applyBorder="1" applyAlignment="1"/>
    <xf numFmtId="0" fontId="5" fillId="0" borderId="6" xfId="0" applyNumberFormat="1" applyFont="1" applyFill="1" applyBorder="1" applyAlignment="1"/>
    <xf numFmtId="0" fontId="0" fillId="0" borderId="0" xfId="0" applyNumberFormat="1" applyFont="1" applyFill="1" applyAlignment="1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0" fontId="0" fillId="0" borderId="0" xfId="0" quotePrefix="1" applyNumberFormat="1" applyAlignment="1"/>
    <xf numFmtId="0" fontId="5" fillId="6" borderId="9" xfId="0" applyNumberFormat="1" applyFont="1" applyFill="1" applyBorder="1" applyAlignment="1"/>
    <xf numFmtId="0" fontId="0" fillId="6" borderId="4" xfId="0" applyNumberFormat="1" applyFill="1" applyBorder="1" applyAlignment="1"/>
    <xf numFmtId="0" fontId="0" fillId="9" borderId="4" xfId="0" applyNumberFormat="1" applyFill="1" applyBorder="1" applyAlignment="1"/>
    <xf numFmtId="0" fontId="0" fillId="9" borderId="11" xfId="0" applyNumberFormat="1" applyFill="1" applyBorder="1" applyAlignment="1"/>
    <xf numFmtId="0" fontId="0" fillId="9" borderId="10" xfId="0" applyNumberFormat="1" applyFill="1" applyBorder="1" applyAlignment="1"/>
    <xf numFmtId="0" fontId="0" fillId="9" borderId="12" xfId="0" applyNumberFormat="1" applyFill="1" applyBorder="1" applyAlignment="1"/>
    <xf numFmtId="0" fontId="0" fillId="9" borderId="1" xfId="0" applyNumberFormat="1" applyFill="1" applyBorder="1" applyAlignment="1"/>
    <xf numFmtId="0" fontId="0" fillId="9" borderId="14" xfId="0" applyNumberFormat="1" applyFill="1" applyBorder="1" applyAlignment="1"/>
    <xf numFmtId="0" fontId="0" fillId="9" borderId="15" xfId="0" applyNumberFormat="1" applyFill="1" applyBorder="1" applyAlignment="1"/>
    <xf numFmtId="0" fontId="0" fillId="9" borderId="13" xfId="0" applyNumberFormat="1" applyFill="1" applyBorder="1" applyAlignment="1"/>
    <xf numFmtId="0" fontId="0" fillId="6" borderId="15" xfId="0" applyNumberFormat="1" applyFill="1" applyBorder="1" applyAlignment="1"/>
    <xf numFmtId="0" fontId="0" fillId="6" borderId="14" xfId="0" applyNumberFormat="1" applyFill="1" applyBorder="1" applyAlignment="1"/>
    <xf numFmtId="0" fontId="0" fillId="6" borderId="13" xfId="0" applyNumberFormat="1" applyFill="1" applyBorder="1" applyAlignment="1"/>
    <xf numFmtId="0" fontId="0" fillId="6" borderId="1" xfId="0" applyNumberFormat="1" applyFill="1" applyBorder="1" applyAlignment="1"/>
    <xf numFmtId="0" fontId="5" fillId="7" borderId="1" xfId="0" applyNumberFormat="1" applyFont="1" applyFill="1" applyBorder="1" applyAlignment="1"/>
    <xf numFmtId="0" fontId="0" fillId="7" borderId="1" xfId="0" applyNumberFormat="1" applyFill="1" applyBorder="1" applyAlignment="1"/>
  </cellXfs>
  <cellStyles count="5">
    <cellStyle name="20 % – uthevingsfarge 2" xfId="3" builtinId="34"/>
    <cellStyle name="20 % – uthevingsfarge 4" xfId="4" builtinId="42"/>
    <cellStyle name="God" xfId="1" builtinId="26"/>
    <cellStyle name="Normal" xfId="0" builtinId="0"/>
    <cellStyle name="Nøytral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3A73-4C9C-4AA3-BB92-884C42F9516D}">
  <dimension ref="C2:X40"/>
  <sheetViews>
    <sheetView topLeftCell="A3" workbookViewId="0">
      <selection activeCell="F3" sqref="F3"/>
    </sheetView>
  </sheetViews>
  <sheetFormatPr baseColWidth="10" defaultRowHeight="15" x14ac:dyDescent="0.25"/>
  <cols>
    <col min="4" max="4" width="4.7109375" bestFit="1" customWidth="1"/>
    <col min="5" max="5" width="5.7109375" style="19" bestFit="1" customWidth="1"/>
    <col min="6" max="6" width="5.7109375" style="17" bestFit="1" customWidth="1"/>
    <col min="7" max="7" width="7.28515625" bestFit="1" customWidth="1"/>
    <col min="8" max="8" width="4.7109375" bestFit="1" customWidth="1"/>
    <col min="9" max="9" width="5.7109375" bestFit="1" customWidth="1"/>
    <col min="10" max="10" width="6.42578125" style="4" bestFit="1" customWidth="1"/>
    <col min="11" max="11" width="5.28515625" bestFit="1" customWidth="1"/>
    <col min="12" max="12" width="4.7109375" bestFit="1" customWidth="1"/>
    <col min="13" max="13" width="11.42578125" style="3"/>
    <col min="18" max="18" width="16.28515625" bestFit="1" customWidth="1"/>
    <col min="19" max="19" width="20.5703125" bestFit="1" customWidth="1"/>
    <col min="20" max="20" width="5.7109375" bestFit="1" customWidth="1"/>
    <col min="21" max="21" width="6.5703125" bestFit="1" customWidth="1"/>
  </cols>
  <sheetData>
    <row r="2" spans="3:24" x14ac:dyDescent="0.25">
      <c r="D2" s="6" t="s">
        <v>80</v>
      </c>
      <c r="E2" s="6"/>
      <c r="F2" s="6"/>
      <c r="G2" s="2" t="s">
        <v>30</v>
      </c>
      <c r="H2" s="2"/>
      <c r="I2" t="s">
        <v>12</v>
      </c>
      <c r="J2" s="4" t="s">
        <v>79</v>
      </c>
      <c r="K2" t="s">
        <v>7</v>
      </c>
      <c r="M2" s="6" t="s">
        <v>15</v>
      </c>
      <c r="N2" s="6"/>
      <c r="O2" s="5"/>
      <c r="P2" s="5"/>
      <c r="T2" s="2" t="s">
        <v>49</v>
      </c>
      <c r="U2" s="2"/>
      <c r="V2" s="2" t="s">
        <v>52</v>
      </c>
      <c r="W2" s="2"/>
      <c r="X2" t="s">
        <v>65</v>
      </c>
    </row>
    <row r="3" spans="3:24" x14ac:dyDescent="0.25">
      <c r="C3" t="s">
        <v>0</v>
      </c>
      <c r="D3">
        <v>31</v>
      </c>
      <c r="E3" s="19" t="s">
        <v>88</v>
      </c>
      <c r="F3" s="17" t="s">
        <v>1</v>
      </c>
      <c r="G3" t="s">
        <v>99</v>
      </c>
      <c r="H3">
        <v>20</v>
      </c>
      <c r="I3" t="s">
        <v>2</v>
      </c>
      <c r="J3" s="4" t="s">
        <v>3</v>
      </c>
      <c r="K3" s="1" t="s">
        <v>97</v>
      </c>
      <c r="L3" s="1" t="s">
        <v>98</v>
      </c>
      <c r="M3" s="3" t="s">
        <v>4</v>
      </c>
      <c r="N3" s="1" t="s">
        <v>5</v>
      </c>
      <c r="O3" s="1"/>
      <c r="P3" s="1"/>
      <c r="R3" s="1" t="s">
        <v>9</v>
      </c>
      <c r="S3" s="1" t="s">
        <v>13</v>
      </c>
      <c r="T3" s="1" t="s">
        <v>18</v>
      </c>
      <c r="U3" s="1" t="s">
        <v>19</v>
      </c>
      <c r="V3" s="1" t="s">
        <v>50</v>
      </c>
      <c r="W3" s="1" t="s">
        <v>51</v>
      </c>
    </row>
    <row r="4" spans="3:24" x14ac:dyDescent="0.25">
      <c r="C4" t="s">
        <v>6</v>
      </c>
      <c r="D4" s="9" t="s">
        <v>89</v>
      </c>
      <c r="E4" s="10" t="s">
        <v>101</v>
      </c>
      <c r="F4" s="10"/>
      <c r="G4" s="16" t="s">
        <v>100</v>
      </c>
      <c r="H4" s="16" t="s">
        <v>92</v>
      </c>
      <c r="I4" s="11" t="s">
        <v>93</v>
      </c>
      <c r="J4" s="11"/>
      <c r="K4" s="21" t="s">
        <v>7</v>
      </c>
      <c r="L4" s="21"/>
      <c r="M4" s="3">
        <v>1101</v>
      </c>
      <c r="N4">
        <v>11</v>
      </c>
      <c r="P4" s="9" t="s">
        <v>83</v>
      </c>
      <c r="R4" t="s">
        <v>17</v>
      </c>
      <c r="S4" t="s">
        <v>14</v>
      </c>
      <c r="T4" t="s">
        <v>77</v>
      </c>
      <c r="U4" t="s">
        <v>13</v>
      </c>
      <c r="X4" t="s">
        <v>64</v>
      </c>
    </row>
    <row r="5" spans="3:24" x14ac:dyDescent="0.25">
      <c r="C5" t="s">
        <v>8</v>
      </c>
      <c r="D5" s="9" t="s">
        <v>89</v>
      </c>
      <c r="E5" s="10" t="s">
        <v>101</v>
      </c>
      <c r="F5" s="10"/>
      <c r="G5" s="16" t="s">
        <v>100</v>
      </c>
      <c r="H5" s="16" t="s">
        <v>92</v>
      </c>
      <c r="I5" s="11" t="s">
        <v>93</v>
      </c>
      <c r="J5" s="11"/>
      <c r="K5" s="21" t="s">
        <v>7</v>
      </c>
      <c r="L5" s="21"/>
      <c r="M5" s="3">
        <v>101</v>
      </c>
      <c r="N5">
        <v>11</v>
      </c>
      <c r="P5" s="9" t="s">
        <v>83</v>
      </c>
      <c r="R5" t="s">
        <v>17</v>
      </c>
      <c r="S5" t="s">
        <v>14</v>
      </c>
      <c r="T5" t="s">
        <v>20</v>
      </c>
      <c r="U5" t="s">
        <v>13</v>
      </c>
      <c r="X5" t="s">
        <v>64</v>
      </c>
    </row>
    <row r="6" spans="3:24" x14ac:dyDescent="0.25">
      <c r="C6" t="s">
        <v>10</v>
      </c>
      <c r="D6" s="9" t="s">
        <v>90</v>
      </c>
      <c r="E6" s="11" t="s">
        <v>96</v>
      </c>
      <c r="F6" s="11"/>
      <c r="G6" s="12" t="s">
        <v>95</v>
      </c>
      <c r="H6" s="12" t="s">
        <v>94</v>
      </c>
      <c r="I6" s="14" t="s">
        <v>12</v>
      </c>
      <c r="J6" s="13">
        <v>0</v>
      </c>
      <c r="K6" s="21" t="s">
        <v>7</v>
      </c>
      <c r="L6" s="21"/>
      <c r="M6" s="8">
        <v>100</v>
      </c>
      <c r="N6">
        <v>11</v>
      </c>
      <c r="P6" s="9" t="s">
        <v>81</v>
      </c>
      <c r="R6" s="7" t="s">
        <v>17</v>
      </c>
      <c r="S6" s="7" t="s">
        <v>43</v>
      </c>
      <c r="T6" s="7" t="s">
        <v>21</v>
      </c>
      <c r="U6" s="7" t="s">
        <v>13</v>
      </c>
      <c r="X6" t="s">
        <v>64</v>
      </c>
    </row>
    <row r="7" spans="3:24" x14ac:dyDescent="0.25">
      <c r="C7" t="s">
        <v>16</v>
      </c>
      <c r="D7" s="9" t="s">
        <v>90</v>
      </c>
      <c r="E7" s="11" t="s">
        <v>96</v>
      </c>
      <c r="F7" s="11"/>
      <c r="G7" s="12" t="s">
        <v>95</v>
      </c>
      <c r="H7" s="12" t="s">
        <v>94</v>
      </c>
      <c r="I7" s="14" t="s">
        <v>12</v>
      </c>
      <c r="J7" s="13">
        <v>10</v>
      </c>
      <c r="K7" s="21" t="s">
        <v>7</v>
      </c>
      <c r="L7" s="21"/>
      <c r="M7" s="8">
        <v>100</v>
      </c>
      <c r="N7">
        <v>11</v>
      </c>
      <c r="P7" s="9" t="s">
        <v>81</v>
      </c>
      <c r="R7" s="7" t="s">
        <v>17</v>
      </c>
      <c r="S7" s="7" t="s">
        <v>43</v>
      </c>
      <c r="T7" s="7" t="s">
        <v>21</v>
      </c>
      <c r="U7" s="7" t="s">
        <v>13</v>
      </c>
      <c r="X7" t="s">
        <v>64</v>
      </c>
    </row>
    <row r="8" spans="3:24" x14ac:dyDescent="0.25">
      <c r="C8" t="s">
        <v>22</v>
      </c>
      <c r="D8" s="9" t="s">
        <v>90</v>
      </c>
      <c r="E8" s="11" t="s">
        <v>96</v>
      </c>
      <c r="F8" s="11"/>
      <c r="G8" s="12" t="s">
        <v>95</v>
      </c>
      <c r="H8" s="12" t="s">
        <v>94</v>
      </c>
      <c r="I8" s="14" t="s">
        <v>12</v>
      </c>
      <c r="J8" s="13">
        <v>11</v>
      </c>
      <c r="K8" s="21" t="s">
        <v>7</v>
      </c>
      <c r="L8" s="21"/>
      <c r="M8" s="8">
        <v>100</v>
      </c>
      <c r="N8">
        <v>11</v>
      </c>
      <c r="P8" s="9" t="s">
        <v>81</v>
      </c>
      <c r="R8" s="7" t="s">
        <v>17</v>
      </c>
      <c r="S8" s="7" t="s">
        <v>43</v>
      </c>
      <c r="T8" s="7" t="s">
        <v>21</v>
      </c>
      <c r="U8" s="7" t="s">
        <v>13</v>
      </c>
      <c r="X8" t="s">
        <v>64</v>
      </c>
    </row>
    <row r="9" spans="3:24" x14ac:dyDescent="0.25">
      <c r="C9" t="s">
        <v>23</v>
      </c>
      <c r="D9" s="9" t="s">
        <v>90</v>
      </c>
      <c r="E9" s="11" t="s">
        <v>96</v>
      </c>
      <c r="F9" s="11"/>
      <c r="G9" s="12" t="s">
        <v>95</v>
      </c>
      <c r="H9" s="12" t="s">
        <v>94</v>
      </c>
      <c r="I9" s="14" t="s">
        <v>12</v>
      </c>
      <c r="J9" s="13">
        <v>100</v>
      </c>
      <c r="K9" s="21" t="s">
        <v>7</v>
      </c>
      <c r="L9" s="21"/>
      <c r="M9" s="8">
        <v>100</v>
      </c>
      <c r="N9">
        <v>11</v>
      </c>
      <c r="P9" s="9" t="s">
        <v>81</v>
      </c>
      <c r="R9" s="7" t="s">
        <v>17</v>
      </c>
      <c r="S9" s="7" t="s">
        <v>43</v>
      </c>
      <c r="T9" s="7" t="s">
        <v>21</v>
      </c>
      <c r="U9" s="7" t="s">
        <v>13</v>
      </c>
      <c r="X9" t="s">
        <v>64</v>
      </c>
    </row>
    <row r="10" spans="3:24" x14ac:dyDescent="0.25">
      <c r="C10" t="s">
        <v>24</v>
      </c>
      <c r="D10" s="9" t="s">
        <v>90</v>
      </c>
      <c r="E10" s="11" t="s">
        <v>96</v>
      </c>
      <c r="F10" s="11"/>
      <c r="G10" s="12" t="s">
        <v>95</v>
      </c>
      <c r="H10" s="12" t="s">
        <v>94</v>
      </c>
      <c r="I10" s="14" t="s">
        <v>12</v>
      </c>
      <c r="J10" s="13">
        <v>110</v>
      </c>
      <c r="K10" s="21" t="s">
        <v>7</v>
      </c>
      <c r="L10" s="21"/>
      <c r="M10" s="8">
        <v>100</v>
      </c>
      <c r="N10">
        <v>11</v>
      </c>
      <c r="P10" s="9" t="s">
        <v>81</v>
      </c>
      <c r="R10" s="7" t="s">
        <v>17</v>
      </c>
      <c r="S10" s="7" t="s">
        <v>43</v>
      </c>
      <c r="T10" s="7" t="s">
        <v>21</v>
      </c>
      <c r="U10" s="7" t="s">
        <v>13</v>
      </c>
      <c r="X10" t="s">
        <v>64</v>
      </c>
    </row>
    <row r="11" spans="3:24" x14ac:dyDescent="0.25">
      <c r="C11" t="s">
        <v>25</v>
      </c>
      <c r="D11" s="9" t="s">
        <v>90</v>
      </c>
      <c r="E11" s="11" t="s">
        <v>96</v>
      </c>
      <c r="F11" s="11"/>
      <c r="G11" s="12" t="s">
        <v>95</v>
      </c>
      <c r="H11" s="12" t="s">
        <v>94</v>
      </c>
      <c r="I11" s="14" t="s">
        <v>12</v>
      </c>
      <c r="J11" s="13">
        <v>111</v>
      </c>
      <c r="K11" s="21" t="s">
        <v>7</v>
      </c>
      <c r="L11" s="21"/>
      <c r="M11" s="8">
        <v>100</v>
      </c>
      <c r="N11">
        <v>11</v>
      </c>
      <c r="P11" s="9" t="s">
        <v>81</v>
      </c>
      <c r="R11" s="7" t="s">
        <v>17</v>
      </c>
      <c r="S11" s="7" t="s">
        <v>43</v>
      </c>
      <c r="T11" s="7" t="s">
        <v>21</v>
      </c>
      <c r="U11" s="7" t="s">
        <v>13</v>
      </c>
      <c r="X11" t="s">
        <v>64</v>
      </c>
    </row>
    <row r="12" spans="3:24" x14ac:dyDescent="0.25">
      <c r="C12" t="s">
        <v>26</v>
      </c>
      <c r="D12" s="9">
        <v>0</v>
      </c>
      <c r="E12" s="20">
        <v>0</v>
      </c>
      <c r="F12" s="18">
        <v>0</v>
      </c>
      <c r="G12" s="12" t="s">
        <v>95</v>
      </c>
      <c r="H12" s="12" t="s">
        <v>94</v>
      </c>
      <c r="I12" s="14" t="s">
        <v>12</v>
      </c>
      <c r="J12" s="13">
        <v>1</v>
      </c>
      <c r="K12" s="21" t="s">
        <v>7</v>
      </c>
      <c r="L12" s="21"/>
      <c r="M12" s="8">
        <v>100</v>
      </c>
      <c r="N12">
        <v>11</v>
      </c>
      <c r="P12" s="9" t="s">
        <v>82</v>
      </c>
      <c r="R12" t="s">
        <v>17</v>
      </c>
      <c r="S12" s="7" t="s">
        <v>11</v>
      </c>
      <c r="T12" t="s">
        <v>21</v>
      </c>
      <c r="U12" t="s">
        <v>13</v>
      </c>
      <c r="X12" t="s">
        <v>64</v>
      </c>
    </row>
    <row r="13" spans="3:24" x14ac:dyDescent="0.25">
      <c r="C13" t="s">
        <v>27</v>
      </c>
      <c r="D13" s="9">
        <v>0</v>
      </c>
      <c r="E13" s="20">
        <v>0</v>
      </c>
      <c r="F13" s="18">
        <v>0</v>
      </c>
      <c r="G13" s="12" t="s">
        <v>95</v>
      </c>
      <c r="H13" s="12" t="s">
        <v>94</v>
      </c>
      <c r="I13" s="14" t="s">
        <v>12</v>
      </c>
      <c r="J13" s="13">
        <v>101</v>
      </c>
      <c r="K13" s="21" t="s">
        <v>7</v>
      </c>
      <c r="L13" s="21"/>
      <c r="M13" s="8">
        <v>100</v>
      </c>
      <c r="N13">
        <v>11</v>
      </c>
      <c r="P13" s="9" t="s">
        <v>82</v>
      </c>
      <c r="R13" t="s">
        <v>17</v>
      </c>
      <c r="S13" s="7" t="s">
        <v>11</v>
      </c>
      <c r="T13" t="s">
        <v>21</v>
      </c>
      <c r="U13" t="s">
        <v>13</v>
      </c>
      <c r="X13" t="s">
        <v>64</v>
      </c>
    </row>
    <row r="14" spans="3:24" x14ac:dyDescent="0.25">
      <c r="C14" t="s">
        <v>28</v>
      </c>
      <c r="D14" s="9">
        <v>0</v>
      </c>
      <c r="E14" s="20">
        <v>1000</v>
      </c>
      <c r="F14" s="18">
        <v>0</v>
      </c>
      <c r="G14" s="12" t="s">
        <v>95</v>
      </c>
      <c r="H14" s="12" t="s">
        <v>94</v>
      </c>
      <c r="I14" s="14" t="s">
        <v>12</v>
      </c>
      <c r="J14" s="13">
        <v>101</v>
      </c>
      <c r="K14" s="21" t="s">
        <v>7</v>
      </c>
      <c r="L14" s="21"/>
      <c r="M14" s="8">
        <v>100</v>
      </c>
      <c r="N14">
        <v>11</v>
      </c>
      <c r="P14" s="9" t="s">
        <v>82</v>
      </c>
      <c r="R14" t="s">
        <v>17</v>
      </c>
      <c r="S14" s="7" t="s">
        <v>11</v>
      </c>
      <c r="T14" t="s">
        <v>21</v>
      </c>
      <c r="U14" t="s">
        <v>13</v>
      </c>
      <c r="X14" t="s">
        <v>64</v>
      </c>
    </row>
    <row r="15" spans="3:24" x14ac:dyDescent="0.25">
      <c r="C15" t="s">
        <v>29</v>
      </c>
      <c r="D15">
        <v>0</v>
      </c>
      <c r="E15" s="19">
        <v>0</v>
      </c>
      <c r="F15" s="17">
        <v>0</v>
      </c>
      <c r="G15" s="2" t="s">
        <v>30</v>
      </c>
      <c r="H15" s="2"/>
      <c r="I15" s="7" t="s">
        <v>12</v>
      </c>
      <c r="J15" s="4">
        <v>0</v>
      </c>
      <c r="K15" s="21" t="s">
        <v>7</v>
      </c>
      <c r="L15" s="21"/>
      <c r="M15" s="8">
        <v>1100</v>
      </c>
      <c r="N15">
        <v>11</v>
      </c>
      <c r="P15" t="s">
        <v>84</v>
      </c>
      <c r="R15" t="s">
        <v>17</v>
      </c>
      <c r="T15" t="s">
        <v>21</v>
      </c>
      <c r="U15" t="s">
        <v>31</v>
      </c>
      <c r="X15" t="s">
        <v>64</v>
      </c>
    </row>
    <row r="16" spans="3:24" x14ac:dyDescent="0.25">
      <c r="C16" t="s">
        <v>32</v>
      </c>
      <c r="D16">
        <v>0</v>
      </c>
      <c r="E16" s="19">
        <v>1000</v>
      </c>
      <c r="F16" s="17">
        <v>0</v>
      </c>
      <c r="G16" s="2" t="s">
        <v>30</v>
      </c>
      <c r="H16" s="2"/>
      <c r="I16" s="7" t="s">
        <v>12</v>
      </c>
      <c r="J16" s="4">
        <v>0</v>
      </c>
      <c r="K16" s="21" t="s">
        <v>7</v>
      </c>
      <c r="L16" s="21"/>
      <c r="M16" s="8">
        <v>1100</v>
      </c>
      <c r="N16">
        <v>11</v>
      </c>
      <c r="P16" t="s">
        <v>84</v>
      </c>
      <c r="R16" t="s">
        <v>17</v>
      </c>
      <c r="T16" t="s">
        <v>21</v>
      </c>
      <c r="U16" t="s">
        <v>31</v>
      </c>
      <c r="X16" t="s">
        <v>64</v>
      </c>
    </row>
    <row r="17" spans="3:24" x14ac:dyDescent="0.25">
      <c r="C17" t="s">
        <v>33</v>
      </c>
      <c r="D17">
        <v>0</v>
      </c>
      <c r="E17" s="19">
        <v>0</v>
      </c>
      <c r="F17" s="17">
        <v>0</v>
      </c>
      <c r="G17" s="2" t="s">
        <v>30</v>
      </c>
      <c r="H17" s="2"/>
      <c r="I17" s="7" t="s">
        <v>12</v>
      </c>
      <c r="J17" s="4">
        <v>1</v>
      </c>
      <c r="K17" s="21" t="s">
        <v>7</v>
      </c>
      <c r="L17" s="21"/>
      <c r="M17" s="8">
        <v>1100</v>
      </c>
      <c r="N17">
        <v>11</v>
      </c>
      <c r="P17" t="s">
        <v>84</v>
      </c>
      <c r="R17" t="s">
        <v>17</v>
      </c>
      <c r="T17" t="s">
        <v>21</v>
      </c>
      <c r="U17" t="s">
        <v>31</v>
      </c>
      <c r="X17" t="s">
        <v>64</v>
      </c>
    </row>
    <row r="18" spans="3:24" x14ac:dyDescent="0.25">
      <c r="C18" t="s">
        <v>34</v>
      </c>
      <c r="D18">
        <v>0</v>
      </c>
      <c r="E18" s="19">
        <v>0</v>
      </c>
      <c r="F18" s="17">
        <v>0</v>
      </c>
      <c r="G18" s="2" t="s">
        <v>30</v>
      </c>
      <c r="H18" s="2"/>
      <c r="I18" s="7" t="s">
        <v>12</v>
      </c>
      <c r="J18" s="4">
        <v>10</v>
      </c>
      <c r="K18" s="21" t="s">
        <v>7</v>
      </c>
      <c r="L18" s="21"/>
      <c r="M18" s="8">
        <v>1100</v>
      </c>
      <c r="N18">
        <v>11</v>
      </c>
      <c r="P18" t="s">
        <v>84</v>
      </c>
      <c r="R18" t="s">
        <v>17</v>
      </c>
      <c r="T18" t="s">
        <v>21</v>
      </c>
      <c r="U18" t="s">
        <v>31</v>
      </c>
      <c r="X18" t="s">
        <v>64</v>
      </c>
    </row>
    <row r="19" spans="3:24" x14ac:dyDescent="0.25">
      <c r="C19" t="s">
        <v>35</v>
      </c>
      <c r="D19">
        <v>0</v>
      </c>
      <c r="E19" s="19">
        <v>0</v>
      </c>
      <c r="F19" s="17">
        <v>0</v>
      </c>
      <c r="G19" s="2" t="s">
        <v>30</v>
      </c>
      <c r="H19" s="2"/>
      <c r="I19" s="7" t="s">
        <v>12</v>
      </c>
      <c r="J19" s="4">
        <v>11</v>
      </c>
      <c r="K19" s="21" t="s">
        <v>7</v>
      </c>
      <c r="L19" s="21"/>
      <c r="M19" s="8">
        <v>1100</v>
      </c>
      <c r="N19">
        <v>11</v>
      </c>
      <c r="P19" t="s">
        <v>84</v>
      </c>
      <c r="R19" t="s">
        <v>17</v>
      </c>
      <c r="T19" t="s">
        <v>21</v>
      </c>
      <c r="U19" t="s">
        <v>31</v>
      </c>
      <c r="X19" t="s">
        <v>64</v>
      </c>
    </row>
    <row r="20" spans="3:24" x14ac:dyDescent="0.25">
      <c r="C20" t="s">
        <v>36</v>
      </c>
      <c r="D20">
        <v>0</v>
      </c>
      <c r="E20" s="19">
        <v>0</v>
      </c>
      <c r="F20" s="17">
        <v>0</v>
      </c>
      <c r="G20" s="2" t="s">
        <v>30</v>
      </c>
      <c r="H20" s="2"/>
      <c r="I20" s="7" t="s">
        <v>12</v>
      </c>
      <c r="J20" s="4">
        <v>100</v>
      </c>
      <c r="K20" s="21" t="s">
        <v>7</v>
      </c>
      <c r="L20" s="21"/>
      <c r="M20" s="8">
        <v>1100</v>
      </c>
      <c r="N20">
        <v>11</v>
      </c>
      <c r="P20" t="s">
        <v>84</v>
      </c>
      <c r="R20" t="s">
        <v>17</v>
      </c>
      <c r="T20" t="s">
        <v>21</v>
      </c>
      <c r="U20" t="s">
        <v>31</v>
      </c>
      <c r="X20" t="s">
        <v>64</v>
      </c>
    </row>
    <row r="21" spans="3:24" x14ac:dyDescent="0.25">
      <c r="C21" t="s">
        <v>37</v>
      </c>
      <c r="D21">
        <v>0</v>
      </c>
      <c r="E21" s="19">
        <v>0</v>
      </c>
      <c r="F21" s="17">
        <v>0</v>
      </c>
      <c r="G21" s="2" t="s">
        <v>30</v>
      </c>
      <c r="H21" s="2"/>
      <c r="I21" s="7" t="s">
        <v>12</v>
      </c>
      <c r="J21" s="4">
        <v>101</v>
      </c>
      <c r="K21" s="21" t="s">
        <v>7</v>
      </c>
      <c r="L21" s="21"/>
      <c r="M21" s="8">
        <v>1100</v>
      </c>
      <c r="N21">
        <v>11</v>
      </c>
      <c r="P21" t="s">
        <v>84</v>
      </c>
      <c r="R21" t="s">
        <v>17</v>
      </c>
      <c r="T21" t="s">
        <v>21</v>
      </c>
      <c r="U21" t="s">
        <v>31</v>
      </c>
      <c r="X21" t="s">
        <v>64</v>
      </c>
    </row>
    <row r="22" spans="3:24" x14ac:dyDescent="0.25">
      <c r="C22" t="s">
        <v>38</v>
      </c>
      <c r="D22">
        <v>0</v>
      </c>
      <c r="E22" s="19">
        <v>1000</v>
      </c>
      <c r="F22" s="17">
        <v>0</v>
      </c>
      <c r="G22" s="2" t="s">
        <v>30</v>
      </c>
      <c r="H22" s="2"/>
      <c r="I22" s="7" t="s">
        <v>12</v>
      </c>
      <c r="J22" s="4">
        <v>101</v>
      </c>
      <c r="K22" s="21" t="s">
        <v>7</v>
      </c>
      <c r="L22" s="21"/>
      <c r="M22" s="8">
        <v>1100</v>
      </c>
      <c r="N22">
        <v>11</v>
      </c>
      <c r="P22" t="s">
        <v>84</v>
      </c>
      <c r="R22" t="s">
        <v>17</v>
      </c>
      <c r="T22" t="s">
        <v>21</v>
      </c>
      <c r="U22" t="s">
        <v>31</v>
      </c>
      <c r="X22" t="s">
        <v>64</v>
      </c>
    </row>
    <row r="23" spans="3:24" x14ac:dyDescent="0.25">
      <c r="C23" t="s">
        <v>39</v>
      </c>
      <c r="D23">
        <v>0</v>
      </c>
      <c r="E23" s="19">
        <v>0</v>
      </c>
      <c r="F23" s="17">
        <v>0</v>
      </c>
      <c r="G23" s="2" t="s">
        <v>30</v>
      </c>
      <c r="H23" s="2"/>
      <c r="I23" s="7" t="s">
        <v>12</v>
      </c>
      <c r="J23" s="4">
        <v>110</v>
      </c>
      <c r="K23" s="21" t="s">
        <v>7</v>
      </c>
      <c r="L23" s="21"/>
      <c r="M23" s="8">
        <v>1100</v>
      </c>
      <c r="N23">
        <v>11</v>
      </c>
      <c r="P23" t="s">
        <v>84</v>
      </c>
      <c r="R23" t="s">
        <v>17</v>
      </c>
      <c r="T23" t="s">
        <v>21</v>
      </c>
      <c r="U23" t="s">
        <v>31</v>
      </c>
      <c r="X23" t="s">
        <v>64</v>
      </c>
    </row>
    <row r="24" spans="3:24" x14ac:dyDescent="0.25">
      <c r="C24" t="s">
        <v>40</v>
      </c>
      <c r="D24">
        <v>0</v>
      </c>
      <c r="E24" s="19">
        <v>0</v>
      </c>
      <c r="F24" s="17">
        <v>0</v>
      </c>
      <c r="G24" s="2" t="s">
        <v>30</v>
      </c>
      <c r="H24" s="2"/>
      <c r="I24" s="7" t="s">
        <v>12</v>
      </c>
      <c r="J24" s="4">
        <v>111</v>
      </c>
      <c r="K24" s="21" t="s">
        <v>7</v>
      </c>
      <c r="L24" s="21"/>
      <c r="M24" s="8">
        <v>1100</v>
      </c>
      <c r="N24">
        <v>11</v>
      </c>
      <c r="P24" t="s">
        <v>84</v>
      </c>
      <c r="R24" t="s">
        <v>17</v>
      </c>
      <c r="T24" t="s">
        <v>21</v>
      </c>
      <c r="U24" t="s">
        <v>31</v>
      </c>
      <c r="X24" t="s">
        <v>64</v>
      </c>
    </row>
    <row r="25" spans="3:24" x14ac:dyDescent="0.25">
      <c r="C25" t="s">
        <v>41</v>
      </c>
      <c r="D25" s="9" t="s">
        <v>90</v>
      </c>
      <c r="E25" s="11" t="s">
        <v>96</v>
      </c>
      <c r="F25" s="11"/>
      <c r="G25" s="12" t="s">
        <v>95</v>
      </c>
      <c r="H25" s="12" t="s">
        <v>94</v>
      </c>
      <c r="I25" s="14" t="s">
        <v>12</v>
      </c>
      <c r="J25" s="13">
        <v>0</v>
      </c>
      <c r="K25" s="21" t="s">
        <v>7</v>
      </c>
      <c r="L25" s="21"/>
      <c r="M25" s="3">
        <v>0</v>
      </c>
      <c r="N25">
        <v>11</v>
      </c>
      <c r="P25" s="9" t="s">
        <v>81</v>
      </c>
      <c r="R25" t="s">
        <v>53</v>
      </c>
      <c r="S25" t="s">
        <v>42</v>
      </c>
      <c r="T25" t="s">
        <v>21</v>
      </c>
      <c r="U25" t="s">
        <v>13</v>
      </c>
      <c r="V25" t="s">
        <v>17</v>
      </c>
      <c r="X25" t="s">
        <v>64</v>
      </c>
    </row>
    <row r="26" spans="3:24" x14ac:dyDescent="0.25">
      <c r="C26" t="s">
        <v>44</v>
      </c>
      <c r="D26" s="9" t="s">
        <v>90</v>
      </c>
      <c r="E26" s="11" t="s">
        <v>96</v>
      </c>
      <c r="F26" s="11"/>
      <c r="G26" s="12" t="s">
        <v>95</v>
      </c>
      <c r="H26" s="12" t="s">
        <v>94</v>
      </c>
      <c r="I26" s="14" t="s">
        <v>12</v>
      </c>
      <c r="J26" s="13">
        <v>1</v>
      </c>
      <c r="K26" s="21" t="s">
        <v>7</v>
      </c>
      <c r="L26" s="21"/>
      <c r="M26" s="3">
        <v>0</v>
      </c>
      <c r="N26">
        <v>11</v>
      </c>
      <c r="P26" s="9" t="s">
        <v>81</v>
      </c>
      <c r="R26" t="s">
        <v>54</v>
      </c>
      <c r="S26" t="s">
        <v>42</v>
      </c>
      <c r="T26" t="s">
        <v>21</v>
      </c>
      <c r="U26" t="s">
        <v>13</v>
      </c>
      <c r="V26" t="s">
        <v>17</v>
      </c>
      <c r="X26" t="s">
        <v>64</v>
      </c>
    </row>
    <row r="27" spans="3:24" x14ac:dyDescent="0.25">
      <c r="C27" t="s">
        <v>45</v>
      </c>
      <c r="D27" s="9" t="s">
        <v>90</v>
      </c>
      <c r="E27" s="11" t="s">
        <v>96</v>
      </c>
      <c r="F27" s="11"/>
      <c r="G27" s="12" t="s">
        <v>95</v>
      </c>
      <c r="H27" s="12" t="s">
        <v>94</v>
      </c>
      <c r="I27" s="14" t="s">
        <v>12</v>
      </c>
      <c r="J27" s="13">
        <v>10</v>
      </c>
      <c r="K27" s="21" t="s">
        <v>7</v>
      </c>
      <c r="L27" s="21"/>
      <c r="M27" s="3">
        <v>0</v>
      </c>
      <c r="N27">
        <v>11</v>
      </c>
      <c r="P27" s="9" t="s">
        <v>81</v>
      </c>
      <c r="R27" t="s">
        <v>55</v>
      </c>
      <c r="S27" t="s">
        <v>42</v>
      </c>
      <c r="T27" t="s">
        <v>21</v>
      </c>
      <c r="U27" t="s">
        <v>13</v>
      </c>
      <c r="V27" t="s">
        <v>17</v>
      </c>
      <c r="X27" t="s">
        <v>64</v>
      </c>
    </row>
    <row r="28" spans="3:24" x14ac:dyDescent="0.25">
      <c r="C28" t="s">
        <v>46</v>
      </c>
      <c r="D28" s="9" t="s">
        <v>90</v>
      </c>
      <c r="E28" s="11" t="s">
        <v>96</v>
      </c>
      <c r="F28" s="11"/>
      <c r="G28" s="12" t="s">
        <v>95</v>
      </c>
      <c r="H28" s="12" t="s">
        <v>94</v>
      </c>
      <c r="I28" s="14" t="s">
        <v>12</v>
      </c>
      <c r="J28" s="13">
        <v>100</v>
      </c>
      <c r="K28" s="21" t="s">
        <v>7</v>
      </c>
      <c r="L28" s="21"/>
      <c r="M28" s="3">
        <v>0</v>
      </c>
      <c r="N28">
        <v>11</v>
      </c>
      <c r="P28" s="9" t="s">
        <v>81</v>
      </c>
      <c r="R28" t="s">
        <v>57</v>
      </c>
      <c r="S28" t="s">
        <v>42</v>
      </c>
      <c r="T28" t="s">
        <v>21</v>
      </c>
      <c r="U28" t="s">
        <v>13</v>
      </c>
      <c r="V28" t="s">
        <v>17</v>
      </c>
      <c r="X28" t="s">
        <v>64</v>
      </c>
    </row>
    <row r="29" spans="3:24" x14ac:dyDescent="0.25">
      <c r="C29" t="s">
        <v>47</v>
      </c>
      <c r="D29" s="9" t="s">
        <v>90</v>
      </c>
      <c r="E29" s="11" t="s">
        <v>96</v>
      </c>
      <c r="F29" s="11"/>
      <c r="G29" s="12" t="s">
        <v>95</v>
      </c>
      <c r="H29" s="12" t="s">
        <v>94</v>
      </c>
      <c r="I29" s="14" t="s">
        <v>12</v>
      </c>
      <c r="J29" s="13">
        <v>101</v>
      </c>
      <c r="K29" s="21" t="s">
        <v>7</v>
      </c>
      <c r="L29" s="21"/>
      <c r="M29" s="3">
        <v>0</v>
      </c>
      <c r="N29">
        <v>11</v>
      </c>
      <c r="P29" s="9" t="s">
        <v>81</v>
      </c>
      <c r="R29" t="s">
        <v>56</v>
      </c>
      <c r="S29" t="s">
        <v>42</v>
      </c>
      <c r="T29" t="s">
        <v>21</v>
      </c>
      <c r="U29" t="s">
        <v>13</v>
      </c>
      <c r="V29" t="s">
        <v>17</v>
      </c>
      <c r="X29" t="s">
        <v>64</v>
      </c>
    </row>
    <row r="30" spans="3:24" x14ac:dyDescent="0.25">
      <c r="C30" t="s">
        <v>48</v>
      </c>
      <c r="D30" s="9" t="s">
        <v>90</v>
      </c>
      <c r="E30" s="11" t="s">
        <v>96</v>
      </c>
      <c r="F30" s="11"/>
      <c r="G30" s="2" t="s">
        <v>30</v>
      </c>
      <c r="H30" s="2"/>
      <c r="I30" s="14" t="s">
        <v>12</v>
      </c>
      <c r="J30" s="13">
        <v>0</v>
      </c>
      <c r="K30" s="12" t="s">
        <v>95</v>
      </c>
      <c r="L30" s="12" t="s">
        <v>94</v>
      </c>
      <c r="M30" s="3">
        <v>1000</v>
      </c>
      <c r="N30">
        <v>11</v>
      </c>
      <c r="P30" s="9" t="s">
        <v>87</v>
      </c>
      <c r="S30" t="s">
        <v>42</v>
      </c>
      <c r="T30" t="s">
        <v>21</v>
      </c>
      <c r="U30" t="s">
        <v>13</v>
      </c>
      <c r="V30" t="s">
        <v>17</v>
      </c>
      <c r="W30" t="s">
        <v>58</v>
      </c>
      <c r="X30" t="s">
        <v>64</v>
      </c>
    </row>
    <row r="31" spans="3:24" x14ac:dyDescent="0.25">
      <c r="C31" t="s">
        <v>60</v>
      </c>
      <c r="D31" s="9" t="s">
        <v>90</v>
      </c>
      <c r="E31" s="11" t="s">
        <v>96</v>
      </c>
      <c r="F31" s="11"/>
      <c r="G31" s="2" t="s">
        <v>30</v>
      </c>
      <c r="H31" s="2"/>
      <c r="I31" s="14" t="s">
        <v>12</v>
      </c>
      <c r="J31" s="13">
        <v>1</v>
      </c>
      <c r="K31" s="12" t="s">
        <v>95</v>
      </c>
      <c r="L31" s="12" t="s">
        <v>94</v>
      </c>
      <c r="M31" s="3">
        <v>1000</v>
      </c>
      <c r="N31">
        <v>11</v>
      </c>
      <c r="P31" s="9" t="s">
        <v>87</v>
      </c>
      <c r="S31" t="s">
        <v>42</v>
      </c>
      <c r="T31" t="s">
        <v>21</v>
      </c>
      <c r="U31" t="s">
        <v>13</v>
      </c>
      <c r="V31" t="s">
        <v>17</v>
      </c>
      <c r="W31" t="s">
        <v>59</v>
      </c>
      <c r="X31" t="s">
        <v>64</v>
      </c>
    </row>
    <row r="32" spans="3:24" x14ac:dyDescent="0.25">
      <c r="C32" t="s">
        <v>61</v>
      </c>
      <c r="D32" s="9" t="s">
        <v>90</v>
      </c>
      <c r="E32" s="11" t="s">
        <v>96</v>
      </c>
      <c r="F32" s="11"/>
      <c r="G32" s="2" t="s">
        <v>30</v>
      </c>
      <c r="H32" s="2"/>
      <c r="I32" s="14" t="s">
        <v>12</v>
      </c>
      <c r="J32" s="13">
        <v>10</v>
      </c>
      <c r="K32" s="12" t="s">
        <v>95</v>
      </c>
      <c r="L32" s="12" t="s">
        <v>94</v>
      </c>
      <c r="M32" s="3">
        <v>1000</v>
      </c>
      <c r="N32">
        <v>11</v>
      </c>
      <c r="P32" s="9" t="s">
        <v>87</v>
      </c>
      <c r="S32" t="s">
        <v>42</v>
      </c>
      <c r="T32" t="s">
        <v>21</v>
      </c>
      <c r="U32" t="s">
        <v>13</v>
      </c>
      <c r="V32" t="s">
        <v>17</v>
      </c>
      <c r="W32" t="s">
        <v>62</v>
      </c>
      <c r="X32" t="s">
        <v>64</v>
      </c>
    </row>
    <row r="33" spans="3:24" x14ac:dyDescent="0.25">
      <c r="C33" t="s">
        <v>63</v>
      </c>
      <c r="D33" s="9" t="s">
        <v>92</v>
      </c>
      <c r="E33" s="11" t="s">
        <v>96</v>
      </c>
      <c r="F33" s="11"/>
      <c r="G33" s="12" t="s">
        <v>95</v>
      </c>
      <c r="H33" s="12" t="s">
        <v>90</v>
      </c>
      <c r="I33" s="11" t="s">
        <v>93</v>
      </c>
      <c r="J33" s="11"/>
      <c r="K33" s="21" t="s">
        <v>7</v>
      </c>
      <c r="L33" s="21"/>
      <c r="M33" s="3">
        <v>11011</v>
      </c>
      <c r="N33">
        <v>11</v>
      </c>
      <c r="P33" s="9" t="s">
        <v>85</v>
      </c>
      <c r="R33" t="s">
        <v>64</v>
      </c>
      <c r="S33" t="s">
        <v>66</v>
      </c>
      <c r="T33" t="s">
        <v>20</v>
      </c>
      <c r="U33" t="s">
        <v>13</v>
      </c>
      <c r="X33" t="s">
        <v>70</v>
      </c>
    </row>
    <row r="34" spans="3:24" x14ac:dyDescent="0.25">
      <c r="C34" t="s">
        <v>67</v>
      </c>
      <c r="D34" s="9" t="s">
        <v>90</v>
      </c>
      <c r="E34" s="11" t="s">
        <v>96</v>
      </c>
      <c r="F34" s="11"/>
      <c r="G34" s="12" t="s">
        <v>95</v>
      </c>
      <c r="H34" s="12" t="s">
        <v>94</v>
      </c>
      <c r="I34" s="15" t="s">
        <v>12</v>
      </c>
      <c r="J34" s="13">
        <v>0</v>
      </c>
      <c r="K34" s="21" t="s">
        <v>7</v>
      </c>
      <c r="L34" s="21"/>
      <c r="M34" s="3">
        <v>11001</v>
      </c>
      <c r="N34">
        <v>11</v>
      </c>
      <c r="P34" s="9" t="s">
        <v>81</v>
      </c>
      <c r="R34" t="s">
        <v>64</v>
      </c>
      <c r="S34" t="s">
        <v>42</v>
      </c>
      <c r="T34" t="s">
        <v>21</v>
      </c>
      <c r="U34" t="s">
        <v>13</v>
      </c>
      <c r="X34" t="s">
        <v>68</v>
      </c>
    </row>
    <row r="35" spans="3:24" x14ac:dyDescent="0.25">
      <c r="C35" t="s">
        <v>69</v>
      </c>
      <c r="D35" s="9" t="s">
        <v>91</v>
      </c>
      <c r="E35" s="11" t="s">
        <v>96</v>
      </c>
      <c r="F35" s="11"/>
      <c r="G35" s="2" t="s">
        <v>30</v>
      </c>
      <c r="H35" s="2"/>
      <c r="I35" s="15" t="s">
        <v>12</v>
      </c>
      <c r="J35" s="13">
        <v>0</v>
      </c>
      <c r="K35" s="12" t="s">
        <v>95</v>
      </c>
      <c r="L35" s="12" t="s">
        <v>90</v>
      </c>
      <c r="M35" s="3">
        <v>11000</v>
      </c>
      <c r="N35">
        <v>11</v>
      </c>
      <c r="P35" s="9" t="s">
        <v>86</v>
      </c>
      <c r="S35" t="s">
        <v>78</v>
      </c>
      <c r="T35" t="s">
        <v>20</v>
      </c>
      <c r="U35" t="s">
        <v>13</v>
      </c>
      <c r="X35" t="s">
        <v>71</v>
      </c>
    </row>
    <row r="36" spans="3:24" x14ac:dyDescent="0.25">
      <c r="C36" t="s">
        <v>72</v>
      </c>
      <c r="D36" s="9" t="s">
        <v>91</v>
      </c>
      <c r="E36" s="11" t="s">
        <v>96</v>
      </c>
      <c r="F36" s="11"/>
      <c r="G36" s="2" t="s">
        <v>30</v>
      </c>
      <c r="H36" s="2"/>
      <c r="I36" s="15" t="s">
        <v>12</v>
      </c>
      <c r="J36" s="13">
        <v>1</v>
      </c>
      <c r="K36" s="12" t="s">
        <v>95</v>
      </c>
      <c r="L36" s="12" t="s">
        <v>90</v>
      </c>
      <c r="M36" s="3">
        <v>11000</v>
      </c>
      <c r="N36">
        <v>11</v>
      </c>
      <c r="P36" s="9" t="s">
        <v>86</v>
      </c>
      <c r="S36" t="s">
        <v>78</v>
      </c>
      <c r="T36" t="s">
        <v>20</v>
      </c>
      <c r="U36" t="s">
        <v>13</v>
      </c>
      <c r="X36" t="s">
        <v>71</v>
      </c>
    </row>
    <row r="37" spans="3:24" x14ac:dyDescent="0.25">
      <c r="C37" t="s">
        <v>73</v>
      </c>
      <c r="D37" s="9" t="s">
        <v>91</v>
      </c>
      <c r="E37" s="11" t="s">
        <v>96</v>
      </c>
      <c r="F37" s="11"/>
      <c r="G37" s="2" t="s">
        <v>30</v>
      </c>
      <c r="H37" s="2"/>
      <c r="I37" s="15" t="s">
        <v>12</v>
      </c>
      <c r="J37" s="13">
        <v>100</v>
      </c>
      <c r="K37" s="12" t="s">
        <v>95</v>
      </c>
      <c r="L37" s="12" t="s">
        <v>90</v>
      </c>
      <c r="M37" s="3">
        <v>11000</v>
      </c>
      <c r="N37">
        <v>11</v>
      </c>
      <c r="P37" s="9" t="s">
        <v>86</v>
      </c>
      <c r="S37" t="s">
        <v>78</v>
      </c>
      <c r="T37" t="s">
        <v>20</v>
      </c>
      <c r="U37" t="s">
        <v>13</v>
      </c>
      <c r="X37" t="s">
        <v>71</v>
      </c>
    </row>
    <row r="38" spans="3:24" x14ac:dyDescent="0.25">
      <c r="C38" t="s">
        <v>74</v>
      </c>
      <c r="D38" s="9" t="s">
        <v>91</v>
      </c>
      <c r="E38" s="11" t="s">
        <v>96</v>
      </c>
      <c r="F38" s="11"/>
      <c r="G38" s="2" t="s">
        <v>30</v>
      </c>
      <c r="H38" s="2"/>
      <c r="I38" s="15" t="s">
        <v>12</v>
      </c>
      <c r="J38" s="13">
        <v>101</v>
      </c>
      <c r="K38" s="12" t="s">
        <v>95</v>
      </c>
      <c r="L38" s="12" t="s">
        <v>90</v>
      </c>
      <c r="M38" s="3">
        <v>11000</v>
      </c>
      <c r="N38">
        <v>11</v>
      </c>
      <c r="P38" s="9" t="s">
        <v>86</v>
      </c>
      <c r="S38" t="s">
        <v>78</v>
      </c>
      <c r="T38" t="s">
        <v>20</v>
      </c>
      <c r="U38" t="s">
        <v>13</v>
      </c>
      <c r="X38" t="s">
        <v>71</v>
      </c>
    </row>
    <row r="39" spans="3:24" x14ac:dyDescent="0.25">
      <c r="C39" t="s">
        <v>75</v>
      </c>
      <c r="D39" s="9" t="s">
        <v>91</v>
      </c>
      <c r="E39" s="11" t="s">
        <v>96</v>
      </c>
      <c r="F39" s="11"/>
      <c r="G39" s="2" t="s">
        <v>30</v>
      </c>
      <c r="H39" s="2"/>
      <c r="I39" s="15" t="s">
        <v>12</v>
      </c>
      <c r="J39" s="13">
        <v>110</v>
      </c>
      <c r="K39" s="12" t="s">
        <v>95</v>
      </c>
      <c r="L39" s="12" t="s">
        <v>90</v>
      </c>
      <c r="M39" s="3">
        <v>11000</v>
      </c>
      <c r="N39">
        <v>11</v>
      </c>
      <c r="P39" s="9" t="s">
        <v>86</v>
      </c>
      <c r="S39" t="s">
        <v>78</v>
      </c>
      <c r="T39" t="s">
        <v>20</v>
      </c>
      <c r="U39" t="s">
        <v>13</v>
      </c>
      <c r="X39" t="s">
        <v>71</v>
      </c>
    </row>
    <row r="40" spans="3:24" x14ac:dyDescent="0.25">
      <c r="C40" t="s">
        <v>76</v>
      </c>
      <c r="D40" s="9" t="s">
        <v>91</v>
      </c>
      <c r="E40" s="11" t="s">
        <v>96</v>
      </c>
      <c r="F40" s="11"/>
      <c r="G40" s="2" t="s">
        <v>30</v>
      </c>
      <c r="H40" s="2"/>
      <c r="I40" s="15" t="s">
        <v>12</v>
      </c>
      <c r="J40" s="13">
        <v>111</v>
      </c>
      <c r="K40" s="12" t="s">
        <v>95</v>
      </c>
      <c r="L40" s="12" t="s">
        <v>90</v>
      </c>
      <c r="M40" s="3">
        <v>11000</v>
      </c>
      <c r="N40">
        <v>11</v>
      </c>
      <c r="P40" s="9" t="s">
        <v>86</v>
      </c>
      <c r="S40" t="s">
        <v>78</v>
      </c>
      <c r="T40" t="s">
        <v>20</v>
      </c>
      <c r="U40" t="s">
        <v>13</v>
      </c>
      <c r="X40" t="s">
        <v>71</v>
      </c>
    </row>
  </sheetData>
  <mergeCells count="79">
    <mergeCell ref="E40:F40"/>
    <mergeCell ref="G40:H40"/>
    <mergeCell ref="E37:F37"/>
    <mergeCell ref="G37:H37"/>
    <mergeCell ref="E38:F38"/>
    <mergeCell ref="G38:H38"/>
    <mergeCell ref="E39:F39"/>
    <mergeCell ref="G39:H39"/>
    <mergeCell ref="K33:L33"/>
    <mergeCell ref="E34:F34"/>
    <mergeCell ref="K34:L34"/>
    <mergeCell ref="E35:F35"/>
    <mergeCell ref="G35:H35"/>
    <mergeCell ref="E36:F36"/>
    <mergeCell ref="G36:H36"/>
    <mergeCell ref="E31:F31"/>
    <mergeCell ref="G31:H31"/>
    <mergeCell ref="E32:F32"/>
    <mergeCell ref="G32:H32"/>
    <mergeCell ref="E33:F33"/>
    <mergeCell ref="I33:J33"/>
    <mergeCell ref="E28:F28"/>
    <mergeCell ref="K28:L28"/>
    <mergeCell ref="E29:F29"/>
    <mergeCell ref="K29:L29"/>
    <mergeCell ref="E30:F30"/>
    <mergeCell ref="G30:H30"/>
    <mergeCell ref="E25:F25"/>
    <mergeCell ref="K25:L25"/>
    <mergeCell ref="E26:F26"/>
    <mergeCell ref="K26:L26"/>
    <mergeCell ref="E27:F27"/>
    <mergeCell ref="K27:L27"/>
    <mergeCell ref="G22:H22"/>
    <mergeCell ref="K22:L22"/>
    <mergeCell ref="G23:H23"/>
    <mergeCell ref="K23:L23"/>
    <mergeCell ref="G24:H24"/>
    <mergeCell ref="K24:L24"/>
    <mergeCell ref="G19:H19"/>
    <mergeCell ref="K19:L19"/>
    <mergeCell ref="G20:H20"/>
    <mergeCell ref="K20:L20"/>
    <mergeCell ref="G21:H21"/>
    <mergeCell ref="K21:L21"/>
    <mergeCell ref="G16:H16"/>
    <mergeCell ref="K16:L16"/>
    <mergeCell ref="G17:H17"/>
    <mergeCell ref="K17:L17"/>
    <mergeCell ref="G18:H18"/>
    <mergeCell ref="K18:L18"/>
    <mergeCell ref="E11:F11"/>
    <mergeCell ref="K11:L11"/>
    <mergeCell ref="K12:L12"/>
    <mergeCell ref="K13:L13"/>
    <mergeCell ref="K14:L14"/>
    <mergeCell ref="G15:H15"/>
    <mergeCell ref="K15:L15"/>
    <mergeCell ref="E8:F8"/>
    <mergeCell ref="K8:L8"/>
    <mergeCell ref="E9:F9"/>
    <mergeCell ref="K9:L9"/>
    <mergeCell ref="E10:F10"/>
    <mergeCell ref="K10:L10"/>
    <mergeCell ref="E5:F5"/>
    <mergeCell ref="I5:J5"/>
    <mergeCell ref="K5:L5"/>
    <mergeCell ref="E6:F6"/>
    <mergeCell ref="K6:L6"/>
    <mergeCell ref="E7:F7"/>
    <mergeCell ref="K7:L7"/>
    <mergeCell ref="D2:F2"/>
    <mergeCell ref="G2:H2"/>
    <mergeCell ref="M2:N2"/>
    <mergeCell ref="T2:U2"/>
    <mergeCell ref="V2:W2"/>
    <mergeCell ref="E4:F4"/>
    <mergeCell ref="I4:J4"/>
    <mergeCell ref="K4:L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8CE7-4CDC-4294-AC8A-052ACD870A92}">
  <dimension ref="A2:AI29"/>
  <sheetViews>
    <sheetView tabSelected="1" workbookViewId="0">
      <selection activeCell="O12" sqref="O12"/>
    </sheetView>
  </sheetViews>
  <sheetFormatPr baseColWidth="10" defaultRowHeight="15" x14ac:dyDescent="0.25"/>
  <cols>
    <col min="3" max="3" width="10.5703125" bestFit="1" customWidth="1"/>
    <col min="4" max="35" width="3" style="22" bestFit="1" customWidth="1"/>
  </cols>
  <sheetData>
    <row r="2" spans="1:35" x14ac:dyDescent="0.25">
      <c r="D2" s="22">
        <v>31</v>
      </c>
      <c r="E2" s="22">
        <v>30</v>
      </c>
      <c r="F2" s="22">
        <v>29</v>
      </c>
      <c r="G2" s="22">
        <v>28</v>
      </c>
      <c r="H2" s="22">
        <v>27</v>
      </c>
      <c r="I2" s="22">
        <v>26</v>
      </c>
      <c r="J2" s="22">
        <v>25</v>
      </c>
      <c r="K2" s="22">
        <v>24</v>
      </c>
      <c r="L2" s="22">
        <v>23</v>
      </c>
      <c r="M2" s="22">
        <v>22</v>
      </c>
      <c r="N2" s="22">
        <v>21</v>
      </c>
      <c r="O2" s="22">
        <v>20</v>
      </c>
      <c r="P2" s="22">
        <v>19</v>
      </c>
      <c r="Q2" s="22">
        <v>18</v>
      </c>
      <c r="R2" s="22">
        <v>17</v>
      </c>
      <c r="S2" s="22">
        <v>16</v>
      </c>
      <c r="T2" s="22">
        <v>15</v>
      </c>
      <c r="U2" s="22">
        <v>14</v>
      </c>
      <c r="V2" s="22">
        <v>13</v>
      </c>
      <c r="W2" s="22">
        <v>12</v>
      </c>
      <c r="X2" s="22">
        <v>11</v>
      </c>
      <c r="Y2" s="22">
        <v>10</v>
      </c>
      <c r="Z2" s="22">
        <v>9</v>
      </c>
      <c r="AA2" s="22">
        <v>8</v>
      </c>
      <c r="AB2" s="22">
        <v>7</v>
      </c>
      <c r="AC2" s="22">
        <v>6</v>
      </c>
      <c r="AD2" s="22">
        <v>5</v>
      </c>
      <c r="AE2" s="22">
        <v>4</v>
      </c>
      <c r="AF2" s="22">
        <v>3</v>
      </c>
      <c r="AG2" s="22">
        <v>2</v>
      </c>
      <c r="AH2" s="22">
        <v>1</v>
      </c>
      <c r="AI2" s="22">
        <v>0</v>
      </c>
    </row>
    <row r="3" spans="1:35" x14ac:dyDescent="0.25">
      <c r="A3" t="s">
        <v>103</v>
      </c>
      <c r="B3" s="3">
        <v>1101</v>
      </c>
      <c r="C3" t="s">
        <v>83</v>
      </c>
      <c r="D3" s="22">
        <v>31</v>
      </c>
      <c r="E3" s="22">
        <v>30</v>
      </c>
      <c r="F3" s="22">
        <v>29</v>
      </c>
      <c r="G3" s="22">
        <v>28</v>
      </c>
      <c r="H3" s="22">
        <v>27</v>
      </c>
      <c r="I3" s="22">
        <v>26</v>
      </c>
      <c r="J3" s="22">
        <v>25</v>
      </c>
      <c r="K3" s="22">
        <v>24</v>
      </c>
      <c r="L3" s="22">
        <v>23</v>
      </c>
      <c r="M3" s="22">
        <v>22</v>
      </c>
      <c r="N3" s="22">
        <v>21</v>
      </c>
      <c r="O3" s="22">
        <v>20</v>
      </c>
      <c r="P3" s="22">
        <v>19</v>
      </c>
      <c r="Q3" s="22">
        <v>18</v>
      </c>
      <c r="R3" s="22">
        <v>17</v>
      </c>
      <c r="S3" s="22">
        <v>16</v>
      </c>
      <c r="T3" s="22">
        <v>15</v>
      </c>
      <c r="U3" s="22">
        <v>14</v>
      </c>
      <c r="V3" s="22">
        <v>13</v>
      </c>
      <c r="W3" s="22">
        <v>12</v>
      </c>
    </row>
    <row r="4" spans="1:35" x14ac:dyDescent="0.25">
      <c r="A4" t="s">
        <v>104</v>
      </c>
      <c r="B4" s="3">
        <v>101</v>
      </c>
      <c r="C4" t="s">
        <v>83</v>
      </c>
      <c r="D4" s="22">
        <v>31</v>
      </c>
      <c r="E4" s="22">
        <v>30</v>
      </c>
      <c r="F4" s="22">
        <v>29</v>
      </c>
      <c r="G4" s="22">
        <v>28</v>
      </c>
      <c r="H4" s="22">
        <v>27</v>
      </c>
      <c r="I4" s="22">
        <v>26</v>
      </c>
      <c r="J4" s="22">
        <v>25</v>
      </c>
      <c r="K4" s="22">
        <v>24</v>
      </c>
      <c r="L4" s="22">
        <v>23</v>
      </c>
      <c r="M4" s="22">
        <v>22</v>
      </c>
      <c r="N4" s="22">
        <v>21</v>
      </c>
      <c r="O4" s="22">
        <v>20</v>
      </c>
      <c r="P4" s="22">
        <v>19</v>
      </c>
      <c r="Q4" s="22">
        <v>18</v>
      </c>
      <c r="R4" s="22">
        <v>17</v>
      </c>
      <c r="S4" s="22">
        <v>16</v>
      </c>
      <c r="T4" s="22">
        <v>15</v>
      </c>
      <c r="U4" s="22">
        <v>14</v>
      </c>
      <c r="V4" s="22">
        <v>13</v>
      </c>
      <c r="W4" s="22">
        <v>12</v>
      </c>
    </row>
    <row r="5" spans="1:35" x14ac:dyDescent="0.25">
      <c r="A5" t="s">
        <v>102</v>
      </c>
      <c r="B5" s="8">
        <v>100</v>
      </c>
      <c r="C5" t="s">
        <v>81</v>
      </c>
      <c r="X5" s="22">
        <v>31</v>
      </c>
      <c r="Y5" s="22">
        <v>30</v>
      </c>
      <c r="Z5" s="22">
        <v>29</v>
      </c>
      <c r="AA5" s="22">
        <v>28</v>
      </c>
      <c r="AB5" s="22">
        <v>27</v>
      </c>
      <c r="AC5" s="22">
        <v>26</v>
      </c>
      <c r="AD5" s="22">
        <v>25</v>
      </c>
      <c r="AE5" s="22">
        <v>24</v>
      </c>
      <c r="AF5" s="22">
        <v>23</v>
      </c>
      <c r="AG5" s="22">
        <v>22</v>
      </c>
      <c r="AH5" s="22">
        <v>21</v>
      </c>
      <c r="AI5" s="22">
        <v>20</v>
      </c>
    </row>
    <row r="6" spans="1:35" x14ac:dyDescent="0.25">
      <c r="A6" t="s">
        <v>105</v>
      </c>
      <c r="B6" s="8">
        <v>0</v>
      </c>
      <c r="C6" t="s">
        <v>81</v>
      </c>
      <c r="X6" s="22">
        <v>31</v>
      </c>
      <c r="Y6" s="22">
        <v>30</v>
      </c>
      <c r="Z6" s="22">
        <v>29</v>
      </c>
      <c r="AA6" s="22">
        <v>28</v>
      </c>
      <c r="AB6" s="22">
        <v>27</v>
      </c>
      <c r="AC6" s="22">
        <v>26</v>
      </c>
      <c r="AD6" s="22">
        <v>25</v>
      </c>
      <c r="AE6" s="22">
        <v>24</v>
      </c>
      <c r="AF6" s="22">
        <v>23</v>
      </c>
      <c r="AG6" s="22">
        <v>22</v>
      </c>
      <c r="AH6" s="22">
        <v>21</v>
      </c>
      <c r="AI6" s="22">
        <v>20</v>
      </c>
    </row>
    <row r="7" spans="1:35" x14ac:dyDescent="0.25">
      <c r="A7" t="s">
        <v>106</v>
      </c>
      <c r="B7" s="8">
        <v>1000</v>
      </c>
      <c r="C7" t="s">
        <v>87</v>
      </c>
      <c r="X7" s="22">
        <v>31</v>
      </c>
      <c r="Y7" s="22">
        <v>30</v>
      </c>
      <c r="Z7" s="22">
        <v>29</v>
      </c>
      <c r="AA7" s="22">
        <v>28</v>
      </c>
      <c r="AB7" s="22">
        <v>27</v>
      </c>
      <c r="AC7" s="22">
        <v>26</v>
      </c>
      <c r="AD7" s="22">
        <v>25</v>
      </c>
      <c r="AE7" s="22">
        <v>11</v>
      </c>
      <c r="AF7" s="22">
        <v>10</v>
      </c>
      <c r="AG7" s="22">
        <v>9</v>
      </c>
      <c r="AH7" s="22">
        <v>8</v>
      </c>
      <c r="AI7" s="22">
        <v>7</v>
      </c>
    </row>
    <row r="8" spans="1:35" x14ac:dyDescent="0.25">
      <c r="A8" t="s">
        <v>107</v>
      </c>
      <c r="B8" s="8">
        <v>11011</v>
      </c>
      <c r="C8" t="s">
        <v>85</v>
      </c>
      <c r="O8" s="22">
        <v>31</v>
      </c>
      <c r="P8" s="22">
        <v>19</v>
      </c>
      <c r="Q8" s="22">
        <v>18</v>
      </c>
      <c r="R8" s="22">
        <v>17</v>
      </c>
      <c r="S8" s="22">
        <v>16</v>
      </c>
      <c r="T8" s="22">
        <v>15</v>
      </c>
      <c r="U8" s="22">
        <v>14</v>
      </c>
      <c r="V8" s="22">
        <v>13</v>
      </c>
      <c r="W8" s="22">
        <v>12</v>
      </c>
      <c r="X8" s="22">
        <v>20</v>
      </c>
      <c r="Y8" s="22">
        <v>30</v>
      </c>
      <c r="Z8" s="22">
        <v>29</v>
      </c>
      <c r="AA8" s="22">
        <v>28</v>
      </c>
      <c r="AB8" s="22">
        <v>27</v>
      </c>
      <c r="AC8" s="22">
        <v>26</v>
      </c>
      <c r="AD8" s="22">
        <v>25</v>
      </c>
      <c r="AE8" s="22">
        <v>24</v>
      </c>
      <c r="AF8" s="22">
        <v>23</v>
      </c>
      <c r="AG8" s="22">
        <v>22</v>
      </c>
      <c r="AH8" s="22">
        <v>21</v>
      </c>
    </row>
    <row r="9" spans="1:35" x14ac:dyDescent="0.25">
      <c r="A9" t="s">
        <v>108</v>
      </c>
      <c r="B9" s="8">
        <v>11001</v>
      </c>
      <c r="C9" t="s">
        <v>81</v>
      </c>
      <c r="X9" s="22">
        <v>31</v>
      </c>
      <c r="Y9" s="22">
        <v>30</v>
      </c>
      <c r="Z9" s="22">
        <v>29</v>
      </c>
      <c r="AA9" s="22">
        <v>28</v>
      </c>
      <c r="AB9" s="22">
        <v>27</v>
      </c>
      <c r="AC9" s="22">
        <v>26</v>
      </c>
      <c r="AD9" s="22">
        <v>25</v>
      </c>
      <c r="AE9" s="22">
        <v>24</v>
      </c>
      <c r="AF9" s="22">
        <v>23</v>
      </c>
      <c r="AG9" s="22">
        <v>22</v>
      </c>
      <c r="AH9" s="22">
        <v>21</v>
      </c>
      <c r="AI9" s="22">
        <v>20</v>
      </c>
    </row>
    <row r="10" spans="1:35" x14ac:dyDescent="0.25">
      <c r="A10" t="s">
        <v>109</v>
      </c>
      <c r="B10" s="8">
        <v>11000</v>
      </c>
      <c r="C10" t="s">
        <v>86</v>
      </c>
      <c r="W10" s="22">
        <v>31</v>
      </c>
      <c r="X10" s="22">
        <v>7</v>
      </c>
      <c r="Y10" s="22">
        <v>30</v>
      </c>
      <c r="Z10" s="22">
        <v>29</v>
      </c>
      <c r="AA10" s="22">
        <v>28</v>
      </c>
      <c r="AB10" s="22">
        <v>27</v>
      </c>
      <c r="AC10" s="22">
        <v>26</v>
      </c>
      <c r="AD10" s="22">
        <v>25</v>
      </c>
      <c r="AE10" s="22">
        <v>11</v>
      </c>
      <c r="AF10" s="22">
        <v>10</v>
      </c>
      <c r="AG10" s="22">
        <v>9</v>
      </c>
      <c r="AH10" s="22">
        <v>8</v>
      </c>
    </row>
    <row r="12" spans="1:35" x14ac:dyDescent="0.25">
      <c r="D12" s="22">
        <v>8</v>
      </c>
      <c r="N12" s="22">
        <v>7</v>
      </c>
      <c r="O12" s="22">
        <v>6</v>
      </c>
      <c r="W12" s="22">
        <v>5</v>
      </c>
      <c r="X12" s="22">
        <v>4</v>
      </c>
      <c r="AD12" s="22">
        <v>3</v>
      </c>
      <c r="AH12" s="22">
        <v>2</v>
      </c>
      <c r="AI12" s="22">
        <v>1</v>
      </c>
    </row>
    <row r="13" spans="1:35" x14ac:dyDescent="0.25">
      <c r="D13" s="22">
        <v>31</v>
      </c>
      <c r="E13" s="22">
        <v>30</v>
      </c>
      <c r="F13" s="22">
        <v>29</v>
      </c>
      <c r="G13" s="22">
        <v>28</v>
      </c>
      <c r="H13" s="22">
        <v>27</v>
      </c>
      <c r="I13" s="22">
        <v>26</v>
      </c>
      <c r="J13" s="22">
        <v>25</v>
      </c>
      <c r="K13" s="22">
        <v>24</v>
      </c>
      <c r="L13" s="22">
        <v>23</v>
      </c>
      <c r="M13" s="22">
        <v>22</v>
      </c>
      <c r="N13" s="22">
        <v>21</v>
      </c>
      <c r="O13" s="22">
        <v>20</v>
      </c>
      <c r="P13" s="22">
        <v>19</v>
      </c>
      <c r="Q13" s="22">
        <v>18</v>
      </c>
      <c r="R13" s="22">
        <v>17</v>
      </c>
      <c r="S13" s="22">
        <v>16</v>
      </c>
      <c r="T13" s="22">
        <v>15</v>
      </c>
      <c r="U13" s="22">
        <v>14</v>
      </c>
      <c r="V13" s="22">
        <v>13</v>
      </c>
      <c r="W13" s="22">
        <v>12</v>
      </c>
      <c r="X13" s="22">
        <v>11</v>
      </c>
      <c r="Y13" s="22">
        <v>10</v>
      </c>
      <c r="Z13" s="22">
        <v>9</v>
      </c>
      <c r="AA13" s="22">
        <v>8</v>
      </c>
      <c r="AB13" s="22">
        <v>7</v>
      </c>
      <c r="AC13" s="22">
        <v>6</v>
      </c>
      <c r="AD13" s="22">
        <v>5</v>
      </c>
      <c r="AE13" s="22">
        <v>4</v>
      </c>
      <c r="AF13" s="22">
        <v>3</v>
      </c>
      <c r="AG13" s="22">
        <v>2</v>
      </c>
      <c r="AH13" s="22">
        <v>1</v>
      </c>
      <c r="AI13" s="22">
        <v>0</v>
      </c>
    </row>
    <row r="14" spans="1:35" x14ac:dyDescent="0.25">
      <c r="A14" t="s">
        <v>105</v>
      </c>
      <c r="B14" s="8">
        <v>0</v>
      </c>
      <c r="C14" t="s">
        <v>81</v>
      </c>
      <c r="D14" s="26">
        <v>31</v>
      </c>
      <c r="E14" s="24">
        <v>31</v>
      </c>
      <c r="F14" s="24">
        <v>31</v>
      </c>
      <c r="G14" s="24">
        <v>31</v>
      </c>
      <c r="H14" s="24">
        <v>31</v>
      </c>
      <c r="I14" s="24">
        <v>31</v>
      </c>
      <c r="J14" s="24">
        <v>31</v>
      </c>
      <c r="K14" s="23">
        <v>31</v>
      </c>
      <c r="L14" s="24">
        <v>31</v>
      </c>
      <c r="M14" s="24">
        <v>31</v>
      </c>
      <c r="N14" s="25">
        <v>31</v>
      </c>
      <c r="O14" s="26">
        <v>31</v>
      </c>
      <c r="P14" s="23">
        <v>31</v>
      </c>
      <c r="Q14" s="24">
        <v>31</v>
      </c>
      <c r="R14" s="24">
        <v>31</v>
      </c>
      <c r="S14" s="24">
        <v>31</v>
      </c>
      <c r="T14" s="24">
        <v>31</v>
      </c>
      <c r="U14" s="24">
        <v>31</v>
      </c>
      <c r="V14" s="24">
        <v>31</v>
      </c>
      <c r="W14" s="25">
        <v>31</v>
      </c>
      <c r="X14" s="26">
        <v>31</v>
      </c>
      <c r="Y14" s="23">
        <v>30</v>
      </c>
      <c r="Z14" s="24">
        <v>29</v>
      </c>
      <c r="AA14" s="24">
        <v>28</v>
      </c>
      <c r="AB14" s="24">
        <v>27</v>
      </c>
      <c r="AC14" s="24">
        <v>26</v>
      </c>
      <c r="AD14" s="24">
        <v>25</v>
      </c>
      <c r="AE14" s="23">
        <v>24</v>
      </c>
      <c r="AF14" s="24">
        <v>23</v>
      </c>
      <c r="AG14" s="24">
        <v>22</v>
      </c>
      <c r="AH14" s="25">
        <v>21</v>
      </c>
      <c r="AI14" s="26">
        <v>20</v>
      </c>
    </row>
    <row r="15" spans="1:35" x14ac:dyDescent="0.25">
      <c r="A15" t="s">
        <v>102</v>
      </c>
      <c r="B15" s="8">
        <v>100</v>
      </c>
      <c r="C15" t="s">
        <v>81</v>
      </c>
      <c r="D15" s="30">
        <v>31</v>
      </c>
      <c r="E15" s="28">
        <v>31</v>
      </c>
      <c r="F15" s="28">
        <v>31</v>
      </c>
      <c r="G15" s="28">
        <v>31</v>
      </c>
      <c r="H15" s="28">
        <v>31</v>
      </c>
      <c r="I15" s="28">
        <v>31</v>
      </c>
      <c r="J15" s="28">
        <v>31</v>
      </c>
      <c r="K15" s="27">
        <v>31</v>
      </c>
      <c r="L15" s="28">
        <v>31</v>
      </c>
      <c r="M15" s="28">
        <v>31</v>
      </c>
      <c r="N15" s="29">
        <v>31</v>
      </c>
      <c r="O15" s="30">
        <v>31</v>
      </c>
      <c r="P15" s="27">
        <v>31</v>
      </c>
      <c r="Q15" s="28">
        <v>31</v>
      </c>
      <c r="R15" s="28">
        <v>31</v>
      </c>
      <c r="S15" s="28">
        <v>31</v>
      </c>
      <c r="T15" s="28">
        <v>31</v>
      </c>
      <c r="U15" s="28">
        <v>31</v>
      </c>
      <c r="V15" s="28">
        <v>31</v>
      </c>
      <c r="W15" s="29">
        <v>31</v>
      </c>
      <c r="X15" s="30">
        <v>31</v>
      </c>
      <c r="Y15" s="27">
        <v>30</v>
      </c>
      <c r="Z15" s="28">
        <v>29</v>
      </c>
      <c r="AA15" s="28">
        <v>28</v>
      </c>
      <c r="AB15" s="28">
        <v>27</v>
      </c>
      <c r="AC15" s="28">
        <v>26</v>
      </c>
      <c r="AD15" s="28">
        <v>25</v>
      </c>
      <c r="AE15" s="27">
        <v>24</v>
      </c>
      <c r="AF15" s="28">
        <v>23</v>
      </c>
      <c r="AG15" s="28">
        <v>22</v>
      </c>
      <c r="AH15" s="29">
        <v>21</v>
      </c>
      <c r="AI15" s="30">
        <v>20</v>
      </c>
    </row>
    <row r="16" spans="1:35" x14ac:dyDescent="0.25">
      <c r="A16" t="s">
        <v>108</v>
      </c>
      <c r="B16" s="8">
        <v>11001</v>
      </c>
      <c r="C16" t="s">
        <v>81</v>
      </c>
      <c r="D16" s="51">
        <v>31</v>
      </c>
      <c r="E16" s="52">
        <v>31</v>
      </c>
      <c r="F16" s="52">
        <v>31</v>
      </c>
      <c r="G16" s="52">
        <v>31</v>
      </c>
      <c r="H16" s="52">
        <v>31</v>
      </c>
      <c r="I16" s="52">
        <v>31</v>
      </c>
      <c r="J16" s="52">
        <v>31</v>
      </c>
      <c r="K16" s="53">
        <v>31</v>
      </c>
      <c r="L16" s="52">
        <v>31</v>
      </c>
      <c r="M16" s="52">
        <v>31</v>
      </c>
      <c r="N16" s="54">
        <v>31</v>
      </c>
      <c r="O16" s="51">
        <v>31</v>
      </c>
      <c r="P16" s="53">
        <v>31</v>
      </c>
      <c r="Q16" s="52">
        <v>31</v>
      </c>
      <c r="R16" s="52">
        <v>31</v>
      </c>
      <c r="S16" s="52">
        <v>31</v>
      </c>
      <c r="T16" s="52">
        <v>31</v>
      </c>
      <c r="U16" s="52">
        <v>31</v>
      </c>
      <c r="V16" s="52">
        <v>31</v>
      </c>
      <c r="W16" s="54">
        <v>31</v>
      </c>
      <c r="X16" s="51">
        <v>31</v>
      </c>
      <c r="Y16" s="53">
        <v>30</v>
      </c>
      <c r="Z16" s="52">
        <v>29</v>
      </c>
      <c r="AA16" s="52">
        <v>28</v>
      </c>
      <c r="AB16" s="52">
        <v>27</v>
      </c>
      <c r="AC16" s="52">
        <v>26</v>
      </c>
      <c r="AD16" s="52">
        <v>25</v>
      </c>
      <c r="AE16" s="53">
        <v>24</v>
      </c>
      <c r="AF16" s="52">
        <v>23</v>
      </c>
      <c r="AG16" s="52">
        <v>22</v>
      </c>
      <c r="AH16" s="54">
        <v>21</v>
      </c>
      <c r="AI16" s="51">
        <v>20</v>
      </c>
    </row>
    <row r="17" spans="1:35" x14ac:dyDescent="0.25">
      <c r="A17" t="s">
        <v>106</v>
      </c>
      <c r="B17" s="8">
        <v>1000</v>
      </c>
      <c r="C17" t="s">
        <v>87</v>
      </c>
      <c r="D17" s="55">
        <v>31</v>
      </c>
      <c r="E17" s="56">
        <v>31</v>
      </c>
      <c r="F17" s="56">
        <v>31</v>
      </c>
      <c r="G17" s="56">
        <v>31</v>
      </c>
      <c r="H17" s="56">
        <v>31</v>
      </c>
      <c r="I17" s="56">
        <v>31</v>
      </c>
      <c r="J17" s="56">
        <v>31</v>
      </c>
      <c r="K17" s="57">
        <v>31</v>
      </c>
      <c r="L17" s="56">
        <v>31</v>
      </c>
      <c r="M17" s="56">
        <v>31</v>
      </c>
      <c r="N17" s="58">
        <v>31</v>
      </c>
      <c r="O17" s="55">
        <v>31</v>
      </c>
      <c r="P17" s="57">
        <v>31</v>
      </c>
      <c r="Q17" s="56">
        <v>31</v>
      </c>
      <c r="R17" s="56">
        <v>31</v>
      </c>
      <c r="S17" s="56">
        <v>31</v>
      </c>
      <c r="T17" s="56">
        <v>31</v>
      </c>
      <c r="U17" s="56">
        <v>31</v>
      </c>
      <c r="V17" s="56">
        <v>31</v>
      </c>
      <c r="W17" s="58">
        <v>31</v>
      </c>
      <c r="X17" s="55">
        <v>31</v>
      </c>
      <c r="Y17" s="57">
        <v>30</v>
      </c>
      <c r="Z17" s="56">
        <v>29</v>
      </c>
      <c r="AA17" s="56">
        <v>28</v>
      </c>
      <c r="AB17" s="56">
        <v>27</v>
      </c>
      <c r="AC17" s="56">
        <v>26</v>
      </c>
      <c r="AD17" s="56">
        <v>25</v>
      </c>
      <c r="AE17" s="59">
        <v>11</v>
      </c>
      <c r="AF17" s="60">
        <v>10</v>
      </c>
      <c r="AG17" s="60">
        <v>9</v>
      </c>
      <c r="AH17" s="61">
        <v>8</v>
      </c>
      <c r="AI17" s="62">
        <v>7</v>
      </c>
    </row>
    <row r="18" spans="1:35" x14ac:dyDescent="0.25">
      <c r="A18" t="s">
        <v>109</v>
      </c>
      <c r="B18" s="8">
        <v>11000</v>
      </c>
      <c r="C18" t="s">
        <v>86</v>
      </c>
      <c r="D18" s="55">
        <v>31</v>
      </c>
      <c r="E18" s="56">
        <v>31</v>
      </c>
      <c r="F18" s="56">
        <v>31</v>
      </c>
      <c r="G18" s="56">
        <v>31</v>
      </c>
      <c r="H18" s="56">
        <v>31</v>
      </c>
      <c r="I18" s="56">
        <v>31</v>
      </c>
      <c r="J18" s="56">
        <v>31</v>
      </c>
      <c r="K18" s="57">
        <v>31</v>
      </c>
      <c r="L18" s="56">
        <v>31</v>
      </c>
      <c r="M18" s="56">
        <v>31</v>
      </c>
      <c r="N18" s="58">
        <v>31</v>
      </c>
      <c r="O18" s="55">
        <v>31</v>
      </c>
      <c r="P18" s="57">
        <v>31</v>
      </c>
      <c r="Q18" s="56">
        <v>31</v>
      </c>
      <c r="R18" s="56">
        <v>31</v>
      </c>
      <c r="S18" s="56">
        <v>31</v>
      </c>
      <c r="T18" s="56">
        <v>31</v>
      </c>
      <c r="U18" s="56">
        <v>31</v>
      </c>
      <c r="V18" s="56">
        <v>31</v>
      </c>
      <c r="W18" s="58">
        <v>31</v>
      </c>
      <c r="X18" s="62">
        <v>7</v>
      </c>
      <c r="Y18" s="57">
        <v>30</v>
      </c>
      <c r="Z18" s="56">
        <v>29</v>
      </c>
      <c r="AA18" s="56">
        <v>28</v>
      </c>
      <c r="AB18" s="56">
        <v>27</v>
      </c>
      <c r="AC18" s="56">
        <v>26</v>
      </c>
      <c r="AD18" s="56">
        <v>25</v>
      </c>
      <c r="AE18" s="59">
        <v>11</v>
      </c>
      <c r="AF18" s="60">
        <v>10</v>
      </c>
      <c r="AG18" s="60">
        <v>9</v>
      </c>
      <c r="AH18" s="61">
        <v>8</v>
      </c>
      <c r="AI18" s="63">
        <v>0</v>
      </c>
    </row>
    <row r="19" spans="1:35" x14ac:dyDescent="0.25">
      <c r="A19" t="s">
        <v>107</v>
      </c>
      <c r="B19" s="8">
        <v>11011</v>
      </c>
      <c r="C19" t="s">
        <v>85</v>
      </c>
      <c r="D19" s="55">
        <v>31</v>
      </c>
      <c r="E19" s="56">
        <v>31</v>
      </c>
      <c r="F19" s="56">
        <v>31</v>
      </c>
      <c r="G19" s="56">
        <v>31</v>
      </c>
      <c r="H19" s="56">
        <v>31</v>
      </c>
      <c r="I19" s="56">
        <v>31</v>
      </c>
      <c r="J19" s="56">
        <v>31</v>
      </c>
      <c r="K19" s="57">
        <v>31</v>
      </c>
      <c r="L19" s="56">
        <v>31</v>
      </c>
      <c r="M19" s="56">
        <v>31</v>
      </c>
      <c r="N19" s="58">
        <v>31</v>
      </c>
      <c r="O19" s="55">
        <v>31</v>
      </c>
      <c r="P19" s="59">
        <v>19</v>
      </c>
      <c r="Q19" s="60">
        <v>18</v>
      </c>
      <c r="R19" s="60">
        <v>17</v>
      </c>
      <c r="S19" s="60">
        <v>16</v>
      </c>
      <c r="T19" s="60">
        <v>15</v>
      </c>
      <c r="U19" s="60">
        <v>14</v>
      </c>
      <c r="V19" s="60">
        <v>13</v>
      </c>
      <c r="W19" s="61">
        <v>12</v>
      </c>
      <c r="X19" s="64">
        <v>20</v>
      </c>
      <c r="Y19" s="57">
        <v>30</v>
      </c>
      <c r="Z19" s="56">
        <v>29</v>
      </c>
      <c r="AA19" s="56">
        <v>28</v>
      </c>
      <c r="AB19" s="56">
        <v>27</v>
      </c>
      <c r="AC19" s="56">
        <v>26</v>
      </c>
      <c r="AD19" s="56">
        <v>25</v>
      </c>
      <c r="AE19" s="57">
        <v>24</v>
      </c>
      <c r="AF19" s="56">
        <v>23</v>
      </c>
      <c r="AG19" s="56">
        <v>22</v>
      </c>
      <c r="AH19" s="58">
        <v>21</v>
      </c>
      <c r="AI19" s="63">
        <v>0</v>
      </c>
    </row>
    <row r="20" spans="1:35" x14ac:dyDescent="0.25">
      <c r="A20" t="s">
        <v>104</v>
      </c>
      <c r="B20" s="3">
        <v>101</v>
      </c>
      <c r="C20" t="s">
        <v>83</v>
      </c>
      <c r="D20" s="34">
        <v>31</v>
      </c>
      <c r="E20" s="32">
        <v>30</v>
      </c>
      <c r="F20" s="32">
        <v>29</v>
      </c>
      <c r="G20" s="32">
        <v>28</v>
      </c>
      <c r="H20" s="32">
        <v>27</v>
      </c>
      <c r="I20" s="32">
        <v>26</v>
      </c>
      <c r="J20" s="32">
        <v>25</v>
      </c>
      <c r="K20" s="31">
        <v>24</v>
      </c>
      <c r="L20" s="32">
        <v>23</v>
      </c>
      <c r="M20" s="32">
        <v>22</v>
      </c>
      <c r="N20" s="33">
        <v>21</v>
      </c>
      <c r="O20" s="34">
        <v>20</v>
      </c>
      <c r="P20" s="31">
        <v>19</v>
      </c>
      <c r="Q20" s="32">
        <v>18</v>
      </c>
      <c r="R20" s="32">
        <v>17</v>
      </c>
      <c r="S20" s="32">
        <v>16</v>
      </c>
      <c r="T20" s="32">
        <v>15</v>
      </c>
      <c r="U20" s="32">
        <v>14</v>
      </c>
      <c r="V20" s="32">
        <v>13</v>
      </c>
      <c r="W20" s="33">
        <v>12</v>
      </c>
      <c r="X20" s="36">
        <v>0</v>
      </c>
      <c r="Y20" s="37">
        <v>0</v>
      </c>
      <c r="Z20" s="38">
        <v>0</v>
      </c>
      <c r="AA20" s="38">
        <v>0</v>
      </c>
      <c r="AB20" s="38">
        <v>0</v>
      </c>
      <c r="AC20" s="38">
        <v>0</v>
      </c>
      <c r="AD20" s="38">
        <v>0</v>
      </c>
      <c r="AE20" s="37">
        <v>0</v>
      </c>
      <c r="AF20" s="38">
        <v>0</v>
      </c>
      <c r="AG20" s="38">
        <v>0</v>
      </c>
      <c r="AH20" s="49">
        <v>0</v>
      </c>
      <c r="AI20" s="35">
        <v>0</v>
      </c>
    </row>
    <row r="21" spans="1:35" x14ac:dyDescent="0.25">
      <c r="A21" t="s">
        <v>103</v>
      </c>
      <c r="B21" s="3">
        <v>1101</v>
      </c>
      <c r="C21" t="s">
        <v>83</v>
      </c>
      <c r="D21" s="50">
        <v>31</v>
      </c>
      <c r="E21" s="40">
        <v>30</v>
      </c>
      <c r="F21" s="40">
        <v>29</v>
      </c>
      <c r="G21" s="40">
        <v>28</v>
      </c>
      <c r="H21" s="32">
        <v>27</v>
      </c>
      <c r="I21" s="32">
        <v>26</v>
      </c>
      <c r="J21" s="32">
        <v>25</v>
      </c>
      <c r="K21" s="39">
        <v>24</v>
      </c>
      <c r="L21" s="40">
        <v>23</v>
      </c>
      <c r="M21" s="40">
        <v>22</v>
      </c>
      <c r="N21" s="41">
        <v>21</v>
      </c>
      <c r="O21" s="50">
        <v>20</v>
      </c>
      <c r="P21" s="31">
        <v>19</v>
      </c>
      <c r="Q21" s="32">
        <v>18</v>
      </c>
      <c r="R21" s="32">
        <v>17</v>
      </c>
      <c r="S21" s="32">
        <v>16</v>
      </c>
      <c r="T21" s="32">
        <v>15</v>
      </c>
      <c r="U21" s="32">
        <v>14</v>
      </c>
      <c r="V21" s="40">
        <v>13</v>
      </c>
      <c r="W21" s="41">
        <v>12</v>
      </c>
      <c r="X21" s="36">
        <v>0</v>
      </c>
      <c r="Y21" s="37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7">
        <v>0</v>
      </c>
      <c r="AF21" s="38">
        <v>0</v>
      </c>
      <c r="AG21" s="38">
        <v>0</v>
      </c>
      <c r="AH21" s="49">
        <v>0</v>
      </c>
      <c r="AI21" s="35">
        <v>0</v>
      </c>
    </row>
    <row r="22" spans="1:35" x14ac:dyDescent="0.25">
      <c r="D22" s="30">
        <v>1</v>
      </c>
      <c r="H22" s="42"/>
      <c r="I22" s="42"/>
      <c r="J22" s="43">
        <v>6</v>
      </c>
      <c r="K22" s="43"/>
      <c r="L22" s="43"/>
      <c r="M22" s="43"/>
      <c r="N22" s="43">
        <v>4</v>
      </c>
      <c r="O22" s="43">
        <v>1</v>
      </c>
      <c r="P22" s="43"/>
      <c r="Q22" s="43"/>
      <c r="R22" s="43"/>
      <c r="S22" s="43"/>
      <c r="T22" s="43"/>
      <c r="U22" s="43"/>
      <c r="V22" s="43"/>
      <c r="W22" s="43">
        <v>8</v>
      </c>
      <c r="X22" s="43">
        <v>1</v>
      </c>
      <c r="Y22" s="43"/>
      <c r="Z22" s="43"/>
      <c r="AA22" s="43"/>
      <c r="AB22" s="43"/>
      <c r="AC22" s="43"/>
      <c r="AD22" s="43">
        <v>6</v>
      </c>
      <c r="AE22" s="43"/>
      <c r="AF22" s="43"/>
      <c r="AG22" s="43"/>
      <c r="AH22" s="43">
        <v>4</v>
      </c>
      <c r="AI22" s="44">
        <v>1</v>
      </c>
    </row>
    <row r="23" spans="1:35" x14ac:dyDescent="0.25">
      <c r="N23" s="45"/>
      <c r="O23" s="45"/>
      <c r="P23" s="45"/>
      <c r="Q23" s="45"/>
      <c r="R23" s="45"/>
      <c r="S23" s="45"/>
      <c r="T23" s="45"/>
      <c r="U23" s="45"/>
      <c r="V23" s="46"/>
      <c r="W23" s="46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6"/>
    </row>
    <row r="24" spans="1:35" x14ac:dyDescent="0.25">
      <c r="C24">
        <v>2</v>
      </c>
      <c r="D24" s="22">
        <v>12</v>
      </c>
      <c r="E24" s="22">
        <v>8</v>
      </c>
      <c r="G24" s="22">
        <v>6</v>
      </c>
      <c r="K24" s="22">
        <f>SUM(D24:I24)</f>
        <v>26</v>
      </c>
      <c r="L24" s="22">
        <f>ROUNDUP(K24/4,0)</f>
        <v>7</v>
      </c>
    </row>
    <row r="25" spans="1:35" x14ac:dyDescent="0.25">
      <c r="C25">
        <v>4</v>
      </c>
      <c r="D25" s="47"/>
      <c r="F25" s="22">
        <v>1</v>
      </c>
      <c r="H25" s="22">
        <v>4</v>
      </c>
      <c r="I25" s="22">
        <v>1</v>
      </c>
      <c r="K25" s="22">
        <f>SUM(D25:I25)</f>
        <v>6</v>
      </c>
      <c r="L25" s="22">
        <f>ROUNDUP(K25/2,0)</f>
        <v>3</v>
      </c>
    </row>
    <row r="26" spans="1:35" x14ac:dyDescent="0.25">
      <c r="AH26" s="48"/>
    </row>
    <row r="27" spans="1:35" x14ac:dyDescent="0.25">
      <c r="X27" s="48"/>
    </row>
    <row r="28" spans="1:35" x14ac:dyDescent="0.25">
      <c r="X28" s="48"/>
      <c r="AI28" s="48"/>
    </row>
    <row r="29" spans="1:35" x14ac:dyDescent="0.25">
      <c r="AI29" s="4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 (2)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Stian Storengen</dc:creator>
  <cp:lastModifiedBy>Stian Storengen</cp:lastModifiedBy>
  <dcterms:created xsi:type="dcterms:W3CDTF">2025-12-16T13:21:18Z</dcterms:created>
  <dcterms:modified xsi:type="dcterms:W3CDTF">2025-12-25T12:53:57Z</dcterms:modified>
</cp:coreProperties>
</file>